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GIT_SOP_Z113\Evo.Mes.Sop.Api\wwwroot\teamplate\"/>
    </mc:Choice>
  </mc:AlternateContent>
  <xr:revisionPtr revIDLastSave="0" documentId="13_ncr:1_{2ADFC492-451F-4EDC-BA0E-4E27B0A1339E}" xr6:coauthVersionLast="47" xr6:coauthVersionMax="47" xr10:uidLastSave="{00000000-0000-0000-0000-000000000000}"/>
  <bookViews>
    <workbookView xWindow="-120" yWindow="-120" windowWidth="20730" windowHeight="11160" firstSheet="1" activeTab="3" xr2:uid="{00000000-000D-0000-FFFF-FFFF00000000}"/>
  </bookViews>
  <sheets>
    <sheet name="00000000" sheetId="2" state="veryHidden" r:id="rId1"/>
    <sheet name="KHSX" sheetId="87" r:id="rId2"/>
    <sheet name="Dụng cụ" sheetId="90" r:id="rId3"/>
    <sheet name="DM_Donvi" sheetId="9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</externalReferences>
  <definedNames>
    <definedName name="\0">'[1]PNT-QUOT-#3'!#REF!</definedName>
    <definedName name="\d">'[2]??-BLDG'!#REF!</definedName>
    <definedName name="\e">'[2]??-BLDG'!#REF!</definedName>
    <definedName name="\f">'[2]??-BLDG'!#REF!</definedName>
    <definedName name="\g">'[2]??-BLDG'!#REF!</definedName>
    <definedName name="\h">'[2]??-BLDG'!#REF!</definedName>
    <definedName name="\i">'[2]??-BLDG'!#REF!</definedName>
    <definedName name="\j">'[2]??-BLDG'!#REF!</definedName>
    <definedName name="\k">'[2]??-BLDG'!#REF!</definedName>
    <definedName name="\l">'[2]??-BLDG'!#REF!</definedName>
    <definedName name="\m">'[2]??-BLDG'!#REF!</definedName>
    <definedName name="\n">'[2]??-BLDG'!#REF!</definedName>
    <definedName name="\o">'[2]??-BLDG'!#REF!</definedName>
    <definedName name="\z">'[1]COAT&amp;WRAP-QIOT-#3'!#REF!</definedName>
    <definedName name="_1">#REF!</definedName>
    <definedName name="_1000A01">#N/A</definedName>
    <definedName name="_2">#REF!</definedName>
    <definedName name="_a1">#REF!</definedName>
    <definedName name="_a111">#REF!</definedName>
    <definedName name="_A65700">'[3]MTO REV.2(ARMOR)'!#REF!</definedName>
    <definedName name="_A65800">'[3]MTO REV.2(ARMOR)'!#REF!</definedName>
    <definedName name="_A66000">'[3]MTO REV.2(ARMOR)'!#REF!</definedName>
    <definedName name="_A67000">'[3]MTO REV.2(ARMOR)'!#REF!</definedName>
    <definedName name="_A68000">'[3]MTO REV.2(ARMOR)'!#REF!</definedName>
    <definedName name="_A70000">'[3]MTO REV.2(ARMOR)'!#REF!</definedName>
    <definedName name="_A75000">'[3]MTO REV.2(ARMOR)'!#REF!</definedName>
    <definedName name="_A85000">'[3]MTO REV.2(ARMOR)'!#REF!</definedName>
    <definedName name="_abb91">[4]chitimc!#REF!</definedName>
    <definedName name="_CON1">#REF!</definedName>
    <definedName name="_CON2">#REF!</definedName>
    <definedName name="_cpd1">#REF!</definedName>
    <definedName name="_cpd2">#REF!</definedName>
    <definedName name="_CT250">'[5]dongia (2)'!#REF!</definedName>
    <definedName name="_ddn400">#REF!</definedName>
    <definedName name="_ddn600">#REF!</definedName>
    <definedName name="_dgt100">'[5]dongia (2)'!#REF!</definedName>
    <definedName name="_Fill" hidden="1">#REF!</definedName>
    <definedName name="_xlnm._FilterDatabase" localSheetId="2" hidden="1">'Dụng cụ'!$A$2:$C$19</definedName>
    <definedName name="_GID1">'[5]LKVL-CK-HT-GD1'!$A$4</definedName>
    <definedName name="_Key1" hidden="1">#REF!</definedName>
    <definedName name="_Key2" hidden="1">#REF!</definedName>
    <definedName name="_MAC12">#REF!</definedName>
    <definedName name="_MAC46">#REF!</definedName>
    <definedName name="_nc151">#REF!</definedName>
    <definedName name="_NC2">#REF!</definedName>
    <definedName name="_NC3">#REF!</definedName>
    <definedName name="_NC4">#REF!</definedName>
    <definedName name="_ncc2">#REF!</definedName>
    <definedName name="_NCC3">#REF!</definedName>
    <definedName name="_NCC4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 hidden="1">255</definedName>
    <definedName name="_Order2" hidden="1">255</definedName>
    <definedName name="_oto10">[6]VL!#REF!</definedName>
    <definedName name="_sat10">[7]Gia!#REF!</definedName>
    <definedName name="_sat14">[7]Gia!#REF!</definedName>
    <definedName name="_sat6">[7]Gia!#REF!</definedName>
    <definedName name="_sat8">[7]Gia!#REF!</definedName>
    <definedName name="_sc1">#REF!</definedName>
    <definedName name="_SC2">#REF!</definedName>
    <definedName name="_sc3">#REF!</definedName>
    <definedName name="_SN3">#REF!</definedName>
    <definedName name="_Sort" hidden="1">#REF!</definedName>
    <definedName name="_SPL4">[8]SPL4!$C$7:$D$67</definedName>
    <definedName name="_t4">#REF!</definedName>
    <definedName name="_tct3">[9]gVL!$Q$23</definedName>
    <definedName name="_tct5">#REF!</definedName>
    <definedName name="_tg427">#REF!</definedName>
    <definedName name="_th100">'[5]dongia (2)'!#REF!</definedName>
    <definedName name="_TH160">'[5]dongia (2)'!#REF!</definedName>
    <definedName name="_TH20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R250">'[5]dongia (2)'!#REF!</definedName>
    <definedName name="_tr375">[5]giathanh1!#REF!</definedName>
    <definedName name="_UT2">#REF!</definedName>
    <definedName name="_VL100">#REF!</definedName>
    <definedName name="_VL200">#REF!</definedName>
    <definedName name="_VL250">#REF!</definedName>
    <definedName name="_xx1">'[10]3.1.1'!$E$166</definedName>
    <definedName name="_xx12">'[10]3.1.1'!$F$166</definedName>
    <definedName name="_xx2">'[10]3.1.1'!$F$166</definedName>
    <definedName name="_xx3">#REF!</definedName>
    <definedName name="_xx4">#REF!</definedName>
    <definedName name="_xx5">#REF!</definedName>
    <definedName name="_xx6">#REF!</definedName>
    <definedName name="_xx7">#REF!</definedName>
    <definedName name="_yy1">'[10]3.1.4'!$E$114</definedName>
    <definedName name="_yy2">'[10]3.1.4'!$F$114</definedName>
    <definedName name="_zx1">'[10]2.5.1'!$A$11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'[11]Xuly Data'!#REF!</definedName>
    <definedName name="A120_">#REF!</definedName>
    <definedName name="a2_">'[11]Xuly Data'!#REF!</definedName>
    <definedName name="a277Print_Titles">#REF!</definedName>
    <definedName name="a3_">'[11]Xuly Data'!#REF!</definedName>
    <definedName name="A35_">#REF!</definedName>
    <definedName name="a4_">'[11]Xuly Data'!#REF!</definedName>
    <definedName name="a5_">'[11]Xuly Data'!#REF!</definedName>
    <definedName name="A50_">#REF!</definedName>
    <definedName name="a6_">[12]Solieu!$C$84</definedName>
    <definedName name="a7_">'[11]Xuly Data'!#REF!</definedName>
    <definedName name="A70_">#REF!</definedName>
    <definedName name="A95_">#REF!</definedName>
    <definedName name="AA">#REF!</definedName>
    <definedName name="AAA">'[13]MTL$-INTER'!#REF!</definedName>
    <definedName name="AAAAAAAA">KHSX!#REF!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g142X42">[4]chitimc!#REF!</definedName>
    <definedName name="ag267N59">[4]chitimc!#REF!</definedName>
    <definedName name="All_Item">#REF!</definedName>
    <definedName name="ALPIN">#N/A</definedName>
    <definedName name="ALPJYOU">#N/A</definedName>
    <definedName name="ALPTOI">#N/A</definedName>
    <definedName name="amiang">#REF!</definedName>
    <definedName name="B">'[1]PNT-QUOT-#3'!#REF!</definedName>
    <definedName name="b_240">'[5]THPDMoi  (2)'!#REF!</definedName>
    <definedName name="b_280">'[5]THPDMoi  (2)'!#REF!</definedName>
    <definedName name="b_320">'[5]THPDMoi  (2)'!#REF!</definedName>
    <definedName name="b1_">'[11]Xuly Data'!#REF!</definedName>
    <definedName name="b2_">'[11]Xuly Data'!#REF!</definedName>
    <definedName name="b3_">'[11]Xuly Data'!#REF!</definedName>
    <definedName name="b4_">'[11]Xuly Data'!#REF!</definedName>
    <definedName name="b5_">'[11]Xuly Data'!#REF!</definedName>
    <definedName name="b6_">'[11]Xuly Data'!#REF!</definedName>
    <definedName name="b7_">'[11]Xuly Data'!#REF!</definedName>
    <definedName name="bangciti">'[5]dongia (2)'!#REF!</definedName>
    <definedName name="Bar">'[14]B-B'!$B$65:$J$66</definedName>
    <definedName name="BB">#REF!</definedName>
    <definedName name="bd">[9]gVL!$Q$15</definedName>
    <definedName name="bdht15nc">[5]gtrinh!#REF!</definedName>
    <definedName name="bdht15vl">[5]gtrinh!#REF!</definedName>
    <definedName name="bdht25nc">[5]gtrinh!#REF!</definedName>
    <definedName name="bdht25vl">[5]gtrinh!#REF!</definedName>
    <definedName name="bdht325nc">[5]gtrinh!#REF!</definedName>
    <definedName name="bdht325vl">[5]gtrinh!#REF!</definedName>
    <definedName name="betong">[15]Sheet1!#REF!</definedName>
    <definedName name="bia">#REF!</definedName>
    <definedName name="blang">#REF!</definedName>
    <definedName name="blong">#REF!</definedName>
    <definedName name="BOQ">#REF!</definedName>
    <definedName name="bson">#REF!</definedName>
    <definedName name="BT">#REF!</definedName>
    <definedName name="btai">#REF!</definedName>
    <definedName name="btds">[16]DG!#REF!</definedName>
    <definedName name="btham">#REF!</definedName>
    <definedName name="bttc">[16]DG!#REF!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BLE2">'[17]MTO REV.0'!$A$1:$Q$570</definedName>
    <definedName name="CAPDAT">[5]phuluc1!#REF!</definedName>
    <definedName name="Cat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tVang_HamYen">[18]T.Tinh!#REF!</definedName>
    <definedName name="cau">[19]NC!$B$5:$C$56</definedName>
    <definedName name="cc">#REF!</definedName>
    <definedName name="CCS">#REF!</definedName>
    <definedName name="cd">#REF!</definedName>
    <definedName name="CDD">#REF!</definedName>
    <definedName name="CDDB">'[11]Xuly Data'!#REF!</definedName>
    <definedName name="CDDD">'[5]THPDMoi  (2)'!#REF!</definedName>
    <definedName name="cddd1p">'[5]TONG HOP VL-NC'!$C$3</definedName>
    <definedName name="cddd3p">'[5]TONG HOP VL-NC'!$C$2</definedName>
    <definedName name="CDDT">'[11]Xuly Data'!#REF!</definedName>
    <definedName name="CDMD">'[11]Xuly Data'!#REF!</definedName>
    <definedName name="cdn">#REF!</definedName>
    <definedName name="cgionc">'[5]lam-moi'!#REF!</definedName>
    <definedName name="cgiovl">'[5]lam-moi'!#REF!</definedName>
    <definedName name="CH">[6]TN!#REF!</definedName>
    <definedName name="chhtnc">'[5]lam-moi'!#REF!</definedName>
    <definedName name="chhtvl">'[5]lam-moi'!#REF!</definedName>
    <definedName name="chnc">'[5]lam-moi'!#REF!</definedName>
    <definedName name="Chu">[6]ND!#REF!</definedName>
    <definedName name="chvl">'[5]lam-moi'!#REF!</definedName>
    <definedName name="citidd">'[5]dongia (2)'!#REF!</definedName>
    <definedName name="CK">#REF!</definedName>
    <definedName name="cknc">'[5]lam-moi'!#REF!</definedName>
    <definedName name="ckvl">'[5]lam-moi'!#REF!</definedName>
    <definedName name="clvc1">[5]chitiet!$D$3</definedName>
    <definedName name="CLVC3">0.1</definedName>
    <definedName name="CLVCTB">#REF!</definedName>
    <definedName name="CLVL">[20]ctdg!#REF!</definedName>
    <definedName name="CN3p">'[5]TONGKE3p '!$X$295</definedName>
    <definedName name="Co">#REF!</definedName>
    <definedName name="COAT">'[1]PNT-QUOT-#3'!#REF!</definedName>
    <definedName name="coc">#REF!</definedName>
    <definedName name="coc20x20">[16]DG!#REF!</definedName>
    <definedName name="Cöï_ly_vaän_chuyeãn">#REF!</definedName>
    <definedName name="CÖÏ_LY_VAÄN_CHUYEÅN">#REF!</definedName>
    <definedName name="COMMON">#REF!</definedName>
    <definedName name="CON_EQP_COS">#REF!</definedName>
    <definedName name="CON_EQP_COST">#REF!</definedName>
    <definedName name="cong1x15">[5]giathanh1!#REF!</definedName>
    <definedName name="CONST_EQ">#REF!</definedName>
    <definedName name="cot">[21]gVL!$Q$64</definedName>
    <definedName name="Cot_thep">[22]Du_lieu!$C$19</definedName>
    <definedName name="COVER">#REF!</definedName>
    <definedName name="cpd">[9]gVL!$Q$20</definedName>
    <definedName name="cpdd">[9]gVL!$Q$21</definedName>
    <definedName name="cpdd1">#REF!</definedName>
    <definedName name="cpdd2">#REF!</definedName>
    <definedName name="CPVC100">#REF!</definedName>
    <definedName name="CPVC1KM">'[5]TH VL, NC, DDHT Thanhphuoc'!$J$19</definedName>
    <definedName name="CPVCDN">'[5]#REF'!$K$33</definedName>
    <definedName name="CRD">#REF!</definedName>
    <definedName name="_xlnm.Criteria">[23]SILICATE!#REF!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3_">[7]Gia!#REF!</definedName>
    <definedName name="ct5_">[7]Gia!#REF!</definedName>
    <definedName name="Ctb">'[24]Lç khoan LK1'!#REF!</definedName>
    <definedName name="ctdg">[25]ctdg!#REF!</definedName>
    <definedName name="cti3x15">[5]giathanh1!#REF!</definedName>
    <definedName name="ctmai">#REF!</definedName>
    <definedName name="ctong">#REF!</definedName>
    <definedName name="ctre">#REF!</definedName>
    <definedName name="cui">#REF!</definedName>
    <definedName name="culy1">[5]DONGIA!#REF!</definedName>
    <definedName name="culy2">[5]DONGIA!#REF!</definedName>
    <definedName name="culy3">[5]DONGIA!#REF!</definedName>
    <definedName name="culy4">[5]DONGIA!#REF!</definedName>
    <definedName name="culy5">[5]DONGIA!#REF!</definedName>
    <definedName name="cuoc">[5]DONGIA!#REF!</definedName>
    <definedName name="CURRENCY">#REF!</definedName>
    <definedName name="Cv">'[24]Lç khoan LK1'!$D$399</definedName>
    <definedName name="cx">#REF!</definedName>
    <definedName name="cxhtnc">'[5]lam-moi'!#REF!</definedName>
    <definedName name="cxhtvl">'[5]lam-moi'!#REF!</definedName>
    <definedName name="cxnc">'[5]lam-moi'!#REF!</definedName>
    <definedName name="cxvl">'[5]lam-moi'!#REF!</definedName>
    <definedName name="cxxnc">'[5]lam-moi'!#REF!</definedName>
    <definedName name="cxxvl">'[5]lam-moi'!#REF!</definedName>
    <definedName name="D_7101A_B">#REF!</definedName>
    <definedName name="D_Gia">'[26]Don gia'!$A$3:$F$240</definedName>
    <definedName name="D1x49">[4]chitimc!#REF!</definedName>
    <definedName name="D1x49x49">[4]chitimc!#REF!</definedName>
    <definedName name="d24nc">'[5]lam-moi'!#REF!</definedName>
    <definedName name="d24vl">'[5]lam-moi'!#REF!</definedName>
    <definedName name="D4.0">'[27]A6,MAY'!$C$10</definedName>
    <definedName name="d4_">[28]Loading!#REF!</definedName>
    <definedName name="d5_">[28]Loading!#REF!</definedName>
    <definedName name="dadas">'[14]B-B'!#REF!</definedName>
    <definedName name="data">#REF!</definedName>
    <definedName name="_xlnm.Database">#REF!</definedName>
    <definedName name="DataFilter">[29]!DataFilter</definedName>
    <definedName name="DataSort">[29]!DataSort</definedName>
    <definedName name="db">#REF!</definedName>
    <definedName name="dcc">[9]gVL!$Q$50</definedName>
    <definedName name="dche">#REF!</definedName>
    <definedName name="dcl">[9]gVL!$Q$40</definedName>
    <definedName name="DD">#REF!</definedName>
    <definedName name="dd0.5x1">[9]gVL!$Q$10</definedName>
    <definedName name="dd1pnc">[5]chitiet!$G$404</definedName>
    <definedName name="dd1pvl">[5]chitiet!$G$383</definedName>
    <definedName name="dd1x2">[30]gvl!$N$9</definedName>
    <definedName name="dd2x4">[9]gVL!$Q$12</definedName>
    <definedName name="dd3pctnc">'[5]lam-moi'!#REF!</definedName>
    <definedName name="dd3pctvl">'[5]lam-moi'!#REF!</definedName>
    <definedName name="dd3plmvl">'[5]lam-moi'!#REF!</definedName>
    <definedName name="dd3pnc">'[5]lam-moi'!#REF!</definedName>
    <definedName name="dd3pvl">'[5]lam-moi'!#REF!</definedName>
    <definedName name="dd4x6">#REF!</definedName>
    <definedName name="dday">#REF!</definedName>
    <definedName name="dden">#REF!</definedName>
    <definedName name="ddhtnc">'[5]lam-moi'!#REF!</definedName>
    <definedName name="ddhtvl">'[5]lam-moi'!#REF!</definedName>
    <definedName name="ddia">#REF!</definedName>
    <definedName name="ddien">[9]gVL!$Q$51</definedName>
    <definedName name="ddt2nc">[5]gtrinh!#REF!</definedName>
    <definedName name="ddt2vl">[5]gtrinh!#REF!</definedName>
    <definedName name="ddtd3pnc">'[5]thao-go'!#REF!</definedName>
    <definedName name="ddtt1pnc">[5]gtrinh!#REF!</definedName>
    <definedName name="ddtt1pvl">[5]gtrinh!#REF!</definedName>
    <definedName name="ddtt3pnc">[5]gtrinh!#REF!</definedName>
    <definedName name="ddtt3pvl">[5]gtrinh!#REF!</definedName>
    <definedName name="den_bu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G">'[26]Don gia'!$B$3:$G$195</definedName>
    <definedName name="dgbdII">#REF!</definedName>
    <definedName name="DGCTI592">#REF!</definedName>
    <definedName name="DGM">[5]DONGIA!$A$453:$F$459</definedName>
    <definedName name="dgnc">#REF!</definedName>
    <definedName name="dgqndn">#REF!</definedName>
    <definedName name="DGTH">[5]DONGIA!#REF!</definedName>
    <definedName name="DGTH1">[5]DONGIA!$A$414:$G$452</definedName>
    <definedName name="dgth2">[5]DONGIA!$A$414:$G$439</definedName>
    <definedName name="DGTR">[5]DONGIA!$A$472:$I$521</definedName>
    <definedName name="dgvl">#REF!</definedName>
    <definedName name="DGVL1">[5]DONGIA!$A$5:$F$235</definedName>
    <definedName name="DGVT">'[5]DON GIA'!$C$5:$G$137</definedName>
    <definedName name="dh">#REF!</definedName>
    <definedName name="DL15HT">'[5]TONGKE-HT'!#REF!</definedName>
    <definedName name="DL16HT">'[5]TONGKE-HT'!#REF!</definedName>
    <definedName name="DL19HT">'[5]TONGKE-HT'!#REF!</definedName>
    <definedName name="DL20HT">'[5]TONGKE-HT'!#REF!</definedName>
    <definedName name="dm56bxd">#REF!</definedName>
    <definedName name="dmat">#REF!</definedName>
    <definedName name="dmoi">#REF!</definedName>
    <definedName name="dmz">[9]gVL!$Q$45</definedName>
    <definedName name="dno">[9]gVL!$Q$49</definedName>
    <definedName name="DÑt45x4">#REF!</definedName>
    <definedName name="dongia">[5]DG!$A$4:$I$567</definedName>
    <definedName name="dongia1">[5]DG!$A$4:$H$606</definedName>
    <definedName name="ds_dungcu">OFFSET('Dụng cụ'!$B$2,MATCH(KHSX!A1&amp;"*",Dungcu,0)-1,0,COUNTIF(Dungcu,KHSX!A1&amp;"*"),1)</definedName>
    <definedName name="ds1pnc">#REF!</definedName>
    <definedName name="ds1pvl">#REF!</definedName>
    <definedName name="ds3pnc">#REF!</definedName>
    <definedName name="ds3pvl">#REF!</definedName>
    <definedName name="dsct3pnc">'[5]#REF'!#REF!</definedName>
    <definedName name="dsct3pvl">'[5]#REF'!#REF!</definedName>
    <definedName name="DSUMDATA">#REF!</definedName>
    <definedName name="Dungcu">OFFSET('Dụng cụ'!$B$2,0,0,COUNTA('Dụng cụ'!$B:$B)-1,1)</definedName>
    <definedName name="duong">[19]NC!$B$5:$D$56</definedName>
    <definedName name="duong1">[5]DONGIA!#REF!</definedName>
    <definedName name="duong2">[5]DONGIA!#REF!</definedName>
    <definedName name="duong3">[5]DONGIA!#REF!</definedName>
    <definedName name="duong4">[5]DONGIA!#REF!</definedName>
    <definedName name="duong5">[5]DONGIA!#REF!</definedName>
    <definedName name="E1.000">[31]Sheet2!#REF!</definedName>
    <definedName name="E1.010">[31]Sheet2!#REF!</definedName>
    <definedName name="E1.020">[31]Sheet2!#REF!</definedName>
    <definedName name="E1.200">[31]Sheet2!#REF!</definedName>
    <definedName name="E1.210">[31]Sheet2!#REF!</definedName>
    <definedName name="E1.220">[31]Sheet2!#REF!</definedName>
    <definedName name="E1.300">[31]Sheet2!#REF!</definedName>
    <definedName name="E1.310">[31]Sheet2!#REF!</definedName>
    <definedName name="E1.320">[31]Sheet2!#REF!</definedName>
    <definedName name="E1.400">[31]Sheet2!#REF!</definedName>
    <definedName name="E1.410">[31]Sheet2!#REF!</definedName>
    <definedName name="E1.420">[31]Sheet2!#REF!</definedName>
    <definedName name="E1.500">[31]Sheet2!#REF!</definedName>
    <definedName name="E1.510">[31]Sheet2!#REF!</definedName>
    <definedName name="E1.520">[31]Sheet2!#REF!</definedName>
    <definedName name="E1.600">[31]Sheet2!#REF!</definedName>
    <definedName name="E1.611">[31]Sheet2!#REF!</definedName>
    <definedName name="E1.631">[31]Sheet2!#REF!</definedName>
    <definedName name="E2.000">[31]Sheet2!#REF!</definedName>
    <definedName name="E2.000A">[31]Sheet2!#REF!</definedName>
    <definedName name="E2.010">[31]Sheet2!#REF!</definedName>
    <definedName name="E2.010A">[31]Sheet2!#REF!</definedName>
    <definedName name="E2.020">[31]Sheet2!#REF!</definedName>
    <definedName name="E2.020A">[31]Sheet2!#REF!</definedName>
    <definedName name="E2.100">[31]Sheet2!#REF!</definedName>
    <definedName name="E2.100A">[31]Sheet2!#REF!</definedName>
    <definedName name="E2.110">[31]Sheet2!#REF!</definedName>
    <definedName name="E2.110A">[31]Sheet2!#REF!</definedName>
    <definedName name="E2.120">[31]Sheet2!#REF!</definedName>
    <definedName name="E2.120A">[31]Sheet2!#REF!</definedName>
    <definedName name="E3.000">[31]Sheet2!#REF!</definedName>
    <definedName name="E3.010">[31]Sheet2!#REF!</definedName>
    <definedName name="E3.020">[31]Sheet2!#REF!</definedName>
    <definedName name="E3.031">[31]Sheet2!#REF!</definedName>
    <definedName name="E3.032">[31]Sheet2!#REF!</definedName>
    <definedName name="E3.033">[31]Sheet2!#REF!</definedName>
    <definedName name="E4.001">[31]Sheet2!#REF!</definedName>
    <definedName name="E4.011">[31]Sheet2!#REF!</definedName>
    <definedName name="E4.021">[31]Sheet2!#REF!</definedName>
    <definedName name="E4.101">[31]Sheet2!#REF!</definedName>
    <definedName name="E4.111">[31]Sheet2!#REF!</definedName>
    <definedName name="E4.121">[31]Sheet2!#REF!</definedName>
    <definedName name="E5.010">[31]Sheet2!#REF!</definedName>
    <definedName name="E5.020">[31]Sheet2!#REF!</definedName>
    <definedName name="E5.030">[31]Sheet2!#REF!</definedName>
    <definedName name="E6.001">[31]Sheet2!#REF!</definedName>
    <definedName name="E6.002">[31]Sheet2!#REF!</definedName>
    <definedName name="E6.011">[31]Sheet2!#REF!</definedName>
    <definedName name="E6.012">[31]Sheet2!#REF!</definedName>
    <definedName name="EL2_">'[11]Xuly Data'!#REF!</definedName>
    <definedName name="EL3_">'[11]Xuly Data'!#REF!</definedName>
    <definedName name="EL4_">'[11]Xuly Data'!#REF!</definedName>
    <definedName name="EL5_">'[11]Xuly Data'!#REF!</definedName>
    <definedName name="EL6_">[12]Solieu!$I$84</definedName>
    <definedName name="en">[32]Sheet3!#REF!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f">'[24]Lç khoan LK1'!#REF!</definedName>
    <definedName name="F0.000">[31]Sheet2!#REF!</definedName>
    <definedName name="F0.010">[31]Sheet2!#REF!</definedName>
    <definedName name="F0.020">[31]Sheet2!#REF!</definedName>
    <definedName name="F0.100">[31]Sheet2!#REF!</definedName>
    <definedName name="F0.110">[31]Sheet2!#REF!</definedName>
    <definedName name="F0.120">[31]Sheet2!#REF!</definedName>
    <definedName name="F0.200">[31]Sheet2!#REF!</definedName>
    <definedName name="F0.210">[31]Sheet2!#REF!</definedName>
    <definedName name="F0.220">[31]Sheet2!#REF!</definedName>
    <definedName name="F0.300">[31]Sheet2!#REF!</definedName>
    <definedName name="F0.310">[31]Sheet2!#REF!</definedName>
    <definedName name="F0.320">[31]Sheet2!#REF!</definedName>
    <definedName name="F1.000">[31]Sheet2!#REF!</definedName>
    <definedName name="F1.010">[31]Sheet2!#REF!</definedName>
    <definedName name="F1.020">[31]Sheet2!#REF!</definedName>
    <definedName name="F1.100">[31]Sheet2!#REF!</definedName>
    <definedName name="F1.110">[31]Sheet2!#REF!</definedName>
    <definedName name="F1.120">[31]Sheet2!#REF!</definedName>
    <definedName name="F1.130">[31]Sheet2!#REF!</definedName>
    <definedName name="F1.140">[31]Sheet2!#REF!</definedName>
    <definedName name="F1.150">[31]Sheet2!#REF!</definedName>
    <definedName name="F2.001">[31]Sheet2!#REF!</definedName>
    <definedName name="F2.011">[31]Sheet2!#REF!</definedName>
    <definedName name="F2.021">[31]Sheet2!#REF!</definedName>
    <definedName name="F2.031">[31]Sheet2!#REF!</definedName>
    <definedName name="F2.041">[31]Sheet2!#REF!</definedName>
    <definedName name="F2.051">[31]Sheet2!#REF!</definedName>
    <definedName name="F2.052">[31]Sheet2!#REF!</definedName>
    <definedName name="F2.061">[31]Sheet2!#REF!</definedName>
    <definedName name="F2.071">[31]Sheet2!#REF!</definedName>
    <definedName name="F2.101">[31]Sheet2!#REF!</definedName>
    <definedName name="F2.111">[31]Sheet2!#REF!</definedName>
    <definedName name="F2.121">[31]Sheet2!#REF!</definedName>
    <definedName name="F2.131">[31]Sheet2!#REF!</definedName>
    <definedName name="F2.141">[31]Sheet2!#REF!</definedName>
    <definedName name="F2.200">[31]Sheet2!#REF!</definedName>
    <definedName name="F2.210">[31]Sheet2!#REF!</definedName>
    <definedName name="F2.220">[31]Sheet2!#REF!</definedName>
    <definedName name="F2.230">[31]Sheet2!#REF!</definedName>
    <definedName name="F2.240">[31]Sheet2!#REF!</definedName>
    <definedName name="F2.250">[31]Sheet2!#REF!</definedName>
    <definedName name="F2.300">[31]Sheet2!#REF!</definedName>
    <definedName name="F2.310">[31]Sheet2!#REF!</definedName>
    <definedName name="F2.320">[31]Sheet2!#REF!</definedName>
    <definedName name="F3.000">[31]Sheet2!#REF!</definedName>
    <definedName name="F3.010">[31]Sheet2!#REF!</definedName>
    <definedName name="F3.020">[31]Sheet2!#REF!</definedName>
    <definedName name="F3.030">[31]Sheet2!#REF!</definedName>
    <definedName name="F3.100">[31]Sheet2!#REF!</definedName>
    <definedName name="F3.110">[31]Sheet2!#REF!</definedName>
    <definedName name="F3.120">[31]Sheet2!#REF!</definedName>
    <definedName name="F3.130">[31]Sheet2!#REF!</definedName>
    <definedName name="F4.000">[31]Sheet2!#REF!</definedName>
    <definedName name="F4.010">[31]Sheet2!#REF!</definedName>
    <definedName name="F4.020">[31]Sheet2!#REF!</definedName>
    <definedName name="F4.030">[31]Sheet2!#REF!</definedName>
    <definedName name="F4.100">[31]Sheet2!#REF!</definedName>
    <definedName name="F4.120">[31]Sheet2!#REF!</definedName>
    <definedName name="F4.140">[31]Sheet2!#REF!</definedName>
    <definedName name="F4.160">[31]Sheet2!#REF!</definedName>
    <definedName name="F4.200">[31]Sheet2!#REF!</definedName>
    <definedName name="F4.220">[31]Sheet2!#REF!</definedName>
    <definedName name="F4.240">[31]Sheet2!#REF!</definedName>
    <definedName name="F4.260">[31]Sheet2!#REF!</definedName>
    <definedName name="F4.300">[31]Sheet2!#REF!</definedName>
    <definedName name="F4.320">[31]Sheet2!#REF!</definedName>
    <definedName name="F4.340">[31]Sheet2!#REF!</definedName>
    <definedName name="F4.400">[31]Sheet2!#REF!</definedName>
    <definedName name="F4.420">[31]Sheet2!#REF!</definedName>
    <definedName name="F4.440">[31]Sheet2!#REF!</definedName>
    <definedName name="F4.500">[31]Sheet2!#REF!</definedName>
    <definedName name="F4.530">[31]Sheet2!#REF!</definedName>
    <definedName name="F4.550">[31]Sheet2!#REF!</definedName>
    <definedName name="F4.570">[31]Sheet2!#REF!</definedName>
    <definedName name="F4.600">[31]Sheet2!#REF!</definedName>
    <definedName name="F4.610">[31]Sheet2!#REF!</definedName>
    <definedName name="F4.620">[31]Sheet2!#REF!</definedName>
    <definedName name="F4.700">[31]Sheet2!#REF!</definedName>
    <definedName name="F4.730">[31]Sheet2!#REF!</definedName>
    <definedName name="F4.740">[31]Sheet2!#REF!</definedName>
    <definedName name="F4.800">[31]Sheet2!#REF!</definedName>
    <definedName name="F4.830">[31]Sheet2!#REF!</definedName>
    <definedName name="F4.840">[31]Sheet2!#REF!</definedName>
    <definedName name="F5.01">[31]Sheet2!#REF!</definedName>
    <definedName name="F5.02">[31]Sheet2!#REF!</definedName>
    <definedName name="F5.03">[31]Sheet2!#REF!</definedName>
    <definedName name="F5.04">[31]Sheet2!#REF!</definedName>
    <definedName name="F5.05">[31]Sheet2!#REF!</definedName>
    <definedName name="F5.11">[31]Sheet2!#REF!</definedName>
    <definedName name="F5.12">[31]Sheet2!#REF!</definedName>
    <definedName name="F5.13">[31]Sheet2!#REF!</definedName>
    <definedName name="F5.14">[31]Sheet2!#REF!</definedName>
    <definedName name="F5.15">[31]Sheet2!#REF!</definedName>
    <definedName name="F6.001">[31]Sheet2!#REF!</definedName>
    <definedName name="F6.002">[31]Sheet2!#REF!</definedName>
    <definedName name="F6.003">[31]Sheet2!#REF!</definedName>
    <definedName name="F6.004">[31]Sheet2!#REF!</definedName>
    <definedName name="f92F56">[33]dtxl!#REF!</definedName>
    <definedName name="fa">#REF!</definedName>
    <definedName name="fac">#REF!</definedName>
    <definedName name="FACTOR">#REF!</definedName>
    <definedName name="fb">[14]Analysis!$I$45</definedName>
    <definedName name="Fitb">'[24]Lç khoan LK1'!#REF!</definedName>
    <definedName name="FP">'[1]COAT&amp;WRAP-QIOT-#3'!#REF!</definedName>
    <definedName name="g">'[34]DG '!#REF!</definedName>
    <definedName name="G0.000">[31]Sheet2!#REF!</definedName>
    <definedName name="G0.010">[31]Sheet2!#REF!</definedName>
    <definedName name="G0.020">[31]Sheet2!#REF!</definedName>
    <definedName name="G0.100">[31]Sheet2!#REF!</definedName>
    <definedName name="G0.110">[31]Sheet2!#REF!</definedName>
    <definedName name="G0.120">[31]Sheet2!#REF!</definedName>
    <definedName name="G1.000">[31]Sheet2!#REF!</definedName>
    <definedName name="G1.011">[31]Sheet2!#REF!</definedName>
    <definedName name="G1.021">[31]Sheet2!#REF!</definedName>
    <definedName name="G1.031">[31]Sheet2!#REF!</definedName>
    <definedName name="G1.041">[31]Sheet2!#REF!</definedName>
    <definedName name="G1.051">[31]Sheet2!#REF!</definedName>
    <definedName name="G2.000">[31]Sheet2!#REF!</definedName>
    <definedName name="G2.010">[31]Sheet2!#REF!</definedName>
    <definedName name="G2.020">[31]Sheet2!#REF!</definedName>
    <definedName name="G2.030">[31]Sheet2!#REF!</definedName>
    <definedName name="G3.000">[31]Sheet2!#REF!</definedName>
    <definedName name="G3.011">[31]Sheet2!#REF!</definedName>
    <definedName name="G3.021">[31]Sheet2!#REF!</definedName>
    <definedName name="G3.031">[31]Sheet2!#REF!</definedName>
    <definedName name="G3.041">[31]Sheet2!#REF!</definedName>
    <definedName name="G3.100">[31]Sheet2!#REF!</definedName>
    <definedName name="G3.111">[31]Sheet2!#REF!</definedName>
    <definedName name="G3.121">[31]Sheet2!#REF!</definedName>
    <definedName name="G3.131">[31]Sheet2!#REF!</definedName>
    <definedName name="G3.141">[31]Sheet2!#REF!</definedName>
    <definedName name="G3.201">[31]Sheet2!#REF!</definedName>
    <definedName name="G3.211">[31]Sheet2!#REF!</definedName>
    <definedName name="G3.221">[31]Sheet2!#REF!</definedName>
    <definedName name="G3.231">[31]Sheet2!#REF!</definedName>
    <definedName name="G3.241">[31]Sheet2!#REF!</definedName>
    <definedName name="G3.301">[31]Sheet2!#REF!</definedName>
    <definedName name="G3.311">[31]Sheet2!#REF!</definedName>
    <definedName name="G3.321">[31]Sheet2!#REF!</definedName>
    <definedName name="G3.331">[31]Sheet2!#REF!</definedName>
    <definedName name="G3.341">[31]Sheet2!#REF!</definedName>
    <definedName name="G4.000">[31]Sheet2!#REF!</definedName>
    <definedName name="G4.010">[31]Sheet2!#REF!</definedName>
    <definedName name="G4.020">[31]Sheet2!#REF!</definedName>
    <definedName name="G4.030">[31]Sheet2!#REF!</definedName>
    <definedName name="G4.040">[31]Sheet2!#REF!</definedName>
    <definedName name="G4.101">[31]Sheet2!#REF!</definedName>
    <definedName name="G4.111">[31]Sheet2!#REF!</definedName>
    <definedName name="G4.121">[31]Sheet2!#REF!</definedName>
    <definedName name="G4.131">[31]Sheet2!#REF!</definedName>
    <definedName name="G4.141">[31]Sheet2!#REF!</definedName>
    <definedName name="G4.151">[31]Sheet2!#REF!</definedName>
    <definedName name="G4.161">[31]Sheet2!#REF!</definedName>
    <definedName name="G4.171">[31]Sheet2!#REF!</definedName>
    <definedName name="G4.200">[31]Sheet2!#REF!</definedName>
    <definedName name="G4.210">[31]Sheet2!#REF!</definedName>
    <definedName name="G4.220">[31]Sheet2!#REF!</definedName>
    <definedName name="g40g40">#REF!</definedName>
    <definedName name="gach">[35]gVL!$Q$60</definedName>
    <definedName name="gas">#REF!</definedName>
    <definedName name="gc">[36]gvl!$N$28</definedName>
    <definedName name="GC_CT">[37]Gia_GC_Satthep!$C$7</definedName>
    <definedName name="GC_CT1">[38]Gia_GC_Satthep!$C$7</definedName>
    <definedName name="gchi">#REF!</definedName>
    <definedName name="gd">#REF!</definedName>
    <definedName name="gia_tien_BTN">#REF!</definedName>
    <definedName name="gl3p">#REF!</definedName>
    <definedName name="gld">#REF!</definedName>
    <definedName name="Go">[18]T.Tinh!#REF!</definedName>
    <definedName name="GoBack">[29]Sheet1!GoBack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PT_GROUNDING_PT">'[39]NEW-PANEL'!#REF!</definedName>
    <definedName name="grC">'[14]C-C'!$J$11</definedName>
    <definedName name="grD">'[14]D-D'!$J$11</definedName>
    <definedName name="gtb">'[24]Lç khoan LK1'!#REF!</definedName>
    <definedName name="gtc">#REF!</definedName>
    <definedName name="GTRI">#REF!</definedName>
    <definedName name="gv">[9]gVL!$Q$28</definedName>
    <definedName name="gvl">[40]GVL!$A$6:$F$131</definedName>
    <definedName name="gxm">#REF!</definedName>
    <definedName name="h">[7]Gia!#REF!</definedName>
    <definedName name="h.2">[41]Sheet1!#REF!</definedName>
    <definedName name="H0.001">[31]Sheet2!#REF!</definedName>
    <definedName name="H0.011">[31]Sheet2!#REF!</definedName>
    <definedName name="H0.021">[31]Sheet2!#REF!</definedName>
    <definedName name="H0.031">[31]Sheet2!#REF!</definedName>
    <definedName name="h1_">'[11]Xuly Data'!#REF!</definedName>
    <definedName name="h2_">'[11]Xuly Data'!#REF!</definedName>
    <definedName name="h3_">'[11]Xuly Data'!#REF!</definedName>
    <definedName name="h4_">'[11]Xuly Data'!#REF!</definedName>
    <definedName name="h5_">'[11]Xuly Data'!#REF!</definedName>
    <definedName name="h6_">'[11]Xuly Data'!#REF!</definedName>
    <definedName name="h7_">'[11]Xuly Data'!#REF!</definedName>
    <definedName name="Ha">'[24]Lç khoan LK1'!$G$227</definedName>
    <definedName name="Hb">'[24]Lç khoan LK1'!$E$17</definedName>
    <definedName name="Heä_soá_laép_xaø_H">1.7</definedName>
    <definedName name="heä_soá_sình_laày">#REF!</definedName>
    <definedName name="HH15HT">'[5]TONGKE-HT'!#REF!</definedName>
    <definedName name="HH16HT">'[5]TONGKE-HT'!#REF!</definedName>
    <definedName name="HH19HT">'[5]TONGKE-HT'!#REF!</definedName>
    <definedName name="HH20HT">'[5]TONGKE-HT'!#REF!</definedName>
    <definedName name="hn">'[42]nhan cong'!#REF!</definedName>
    <definedName name="HOME_MANP">#REF!</definedName>
    <definedName name="HOMEOFFICE_COST">#REF!</definedName>
    <definedName name="Hpl">'[24]Lç khoan LK1'!$D$215</definedName>
    <definedName name="hs">[7]Gia!#REF!</definedName>
    <definedName name="HSCT3">0.1</definedName>
    <definedName name="hsdc1">#REF!</definedName>
    <definedName name="HSDD">[5]phuluc1!#REF!</definedName>
    <definedName name="HSDN">2.5</definedName>
    <definedName name="HSHH">#REF!</definedName>
    <definedName name="HSHHUT">#REF!</definedName>
    <definedName name="hskk1">[5]chitiet!$D$4</definedName>
    <definedName name="HSlanxe">[12]Solieu!$D$15</definedName>
    <definedName name="HSNC">[22]Du_lieu!$C$6</definedName>
    <definedName name="HSSL">#REF!</definedName>
    <definedName name="HSVC1">#REF!</definedName>
    <definedName name="HSVC2">#REF!</definedName>
    <definedName name="HSVC3">#REF!</definedName>
    <definedName name="ht25nc">'[5]lam-moi'!#REF!</definedName>
    <definedName name="ht25vl">'[5]lam-moi'!#REF!</definedName>
    <definedName name="ht325nc">'[5]lam-moi'!#REF!</definedName>
    <definedName name="ht325vl">'[5]lam-moi'!#REF!</definedName>
    <definedName name="ht37k">'[5]lam-moi'!#REF!</definedName>
    <definedName name="ht37nc">'[5]lam-moi'!#REF!</definedName>
    <definedName name="ht50nc">'[5]lam-moi'!#REF!</definedName>
    <definedName name="ht50vl">'[5]lam-moi'!#REF!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y" hidden="1">{"'Sheet1'!$L$16"}</definedName>
    <definedName name="Hy">'[24]Lç khoan LK1'!#REF!</definedName>
    <definedName name="I">#REF!</definedName>
    <definedName name="I2É6">[4]chitimc!#REF!</definedName>
    <definedName name="IDLAB_COST">#REF!</definedName>
    <definedName name="IND_LAB">#REF!</definedName>
    <definedName name="INDMANP">#REF!</definedName>
    <definedName name="IO">'[1]COAT&amp;WRAP-QIOT-#3'!#REF!</definedName>
    <definedName name="j">#REF!</definedName>
    <definedName name="j356C8">#REF!</definedName>
    <definedName name="k">#REF!</definedName>
    <definedName name="K0.001">[31]Sheet2!#REF!</definedName>
    <definedName name="K0.011">[31]Sheet2!#REF!</definedName>
    <definedName name="K0.101">[31]Sheet2!#REF!</definedName>
    <definedName name="K0.111">[31]Sheet2!#REF!</definedName>
    <definedName name="K0.201">[31]Sheet2!#REF!</definedName>
    <definedName name="K0.211">[31]Sheet2!#REF!</definedName>
    <definedName name="K0.301">[31]Sheet2!#REF!</definedName>
    <definedName name="K0.311">[31]Sheet2!#REF!</definedName>
    <definedName name="K0.400">[31]Sheet2!#REF!</definedName>
    <definedName name="K0.410">[31]Sheet2!#REF!</definedName>
    <definedName name="K0.501">[31]Sheet2!#REF!</definedName>
    <definedName name="K0.511">[31]Sheet2!#REF!</definedName>
    <definedName name="K0.61">[31]Sheet2!#REF!</definedName>
    <definedName name="K0.71">[31]Sheet2!#REF!</definedName>
    <definedName name="K1.001">[31]Sheet2!#REF!</definedName>
    <definedName name="K1.021">[31]Sheet2!#REF!</definedName>
    <definedName name="K1.041">[31]Sheet2!#REF!</definedName>
    <definedName name="K1.121">[31]Sheet2!#REF!</definedName>
    <definedName name="K1.201">[31]Sheet2!#REF!</definedName>
    <definedName name="K1.211">[31]Sheet2!#REF!</definedName>
    <definedName name="K1.221">[31]Sheet2!#REF!</definedName>
    <definedName name="K1.301">[31]Sheet2!#REF!</definedName>
    <definedName name="K1.321">[31]Sheet2!#REF!</definedName>
    <definedName name="K1.331">[31]Sheet2!#REF!</definedName>
    <definedName name="K1.341">[31]Sheet2!#REF!</definedName>
    <definedName name="K1.401">[31]Sheet2!#REF!</definedName>
    <definedName name="K1.411">[31]Sheet2!#REF!</definedName>
    <definedName name="K1.421">[31]Sheet2!#REF!</definedName>
    <definedName name="K1.431">[31]Sheet2!#REF!</definedName>
    <definedName name="K1.441">[31]Sheet2!#REF!</definedName>
    <definedName name="K2.001">[31]Sheet2!#REF!</definedName>
    <definedName name="K2.011">[31]Sheet2!#REF!</definedName>
    <definedName name="K2.021">[31]Sheet2!#REF!</definedName>
    <definedName name="K2.031">[31]Sheet2!#REF!</definedName>
    <definedName name="K2.041">[31]Sheet2!#REF!</definedName>
    <definedName name="K2.101">[31]Sheet2!#REF!</definedName>
    <definedName name="K2.111">[31]Sheet2!#REF!</definedName>
    <definedName name="K2.121">[31]Sheet2!#REF!</definedName>
    <definedName name="K2.131">[31]Sheet2!#REF!</definedName>
    <definedName name="K2.141">[31]Sheet2!#REF!</definedName>
    <definedName name="K2.201">[31]Sheet2!#REF!</definedName>
    <definedName name="K2.211">[31]Sheet2!#REF!</definedName>
    <definedName name="K2.221">[31]Sheet2!#REF!</definedName>
    <definedName name="K2.231">[31]Sheet2!#REF!</definedName>
    <definedName name="K2.241">[31]Sheet2!#REF!</definedName>
    <definedName name="K2.301">[31]Sheet2!#REF!</definedName>
    <definedName name="K2.321">[31]Sheet2!#REF!</definedName>
    <definedName name="K2.341">[31]Sheet2!#REF!</definedName>
    <definedName name="K2.400">[31]Sheet2!#REF!</definedName>
    <definedName name="K2.420">[31]Sheet2!#REF!</definedName>
    <definedName name="K2.440">[31]Sheet2!#REF!</definedName>
    <definedName name="K2.500">[31]Sheet2!#REF!</definedName>
    <definedName name="K2.520">[31]Sheet2!#REF!</definedName>
    <definedName name="K2.540">[31]Sheet2!#REF!</definedName>
    <definedName name="k2b">'[5]THPDMoi  (2)'!#REF!</definedName>
    <definedName name="K3.210">[31]Sheet2!#REF!</definedName>
    <definedName name="K3.220">[31]Sheet2!#REF!</definedName>
    <definedName name="K3.230">[31]Sheet2!#REF!</definedName>
    <definedName name="K3.310">[31]Sheet2!#REF!</definedName>
    <definedName name="K3.320">[31]Sheet2!#REF!</definedName>
    <definedName name="K3.330">[31]Sheet2!#REF!</definedName>
    <definedName name="K3.410">[31]Sheet2!#REF!</definedName>
    <definedName name="K3.430">[31]Sheet2!#REF!</definedName>
    <definedName name="K3.450">[31]Sheet2!#REF!</definedName>
    <definedName name="K4.010">[31]Sheet2!#REF!</definedName>
    <definedName name="K4.020">[31]Sheet2!#REF!</definedName>
    <definedName name="K4.110">[31]Sheet2!#REF!</definedName>
    <definedName name="K4.120">[31]Sheet2!#REF!</definedName>
    <definedName name="K4.210">[31]Sheet2!#REF!</definedName>
    <definedName name="K4.220">[31]Sheet2!#REF!</definedName>
    <definedName name="K4.230">[31]Sheet2!#REF!</definedName>
    <definedName name="K4.240">[31]Sheet2!#REF!</definedName>
    <definedName name="kdien">#REF!</definedName>
    <definedName name="Khocau">'[11]Xuly Data'!#REF!</definedName>
    <definedName name="kldd1p">'[5]#REF'!#REF!</definedName>
    <definedName name="kldd3p">'[5]lam-moi'!#REF!</definedName>
    <definedName name="kmong">[5]giathanh1!#REF!</definedName>
    <definedName name="kno">[9]gVL!$Q$48</definedName>
    <definedName name="kp1ph">#REF!</definedName>
    <definedName name="KTHD">'[43]khung ten TD'!#REF!</definedName>
    <definedName name="L">'[24]Lç khoan LK1'!$E$16</definedName>
    <definedName name="l_1">#REF!</definedName>
    <definedName name="Lf">'[28]Check C'!#REF!</definedName>
    <definedName name="Lmk">#REF!</definedName>
    <definedName name="ltre">#REF!</definedName>
    <definedName name="Ltt">'[11]Xuly Data'!#REF!</definedName>
    <definedName name="m">'[24]Lç khoan LK1'!$E$14</definedName>
    <definedName name="m1_">#REF!</definedName>
    <definedName name="m10_">#REF!</definedName>
    <definedName name="m102bnnc">'[5]lam-moi'!#REF!</definedName>
    <definedName name="m102bnvl">'[5]lam-moi'!#REF!</definedName>
    <definedName name="m10aamtc">'[5]t-h HA THE'!#REF!</definedName>
    <definedName name="m10aanc">'[5]lam-moi'!#REF!</definedName>
    <definedName name="m10aavl">'[5]lam-moi'!#REF!</definedName>
    <definedName name="m10anc">'[5]lam-moi'!#REF!</definedName>
    <definedName name="m10avl">'[5]lam-moi'!#REF!</definedName>
    <definedName name="m10banc">'[5]lam-moi'!#REF!</definedName>
    <definedName name="m10bavl">'[5]lam-moi'!#REF!</definedName>
    <definedName name="m11_">#REF!</definedName>
    <definedName name="m122bnnc">'[5]lam-moi'!#REF!</definedName>
    <definedName name="m122bnvl">'[5]lam-moi'!#REF!</definedName>
    <definedName name="m12aanc">'[5]lam-moi'!#REF!</definedName>
    <definedName name="m12aavl">'[5]lam-moi'!#REF!</definedName>
    <definedName name="m12anc">'[5]lam-moi'!#REF!</definedName>
    <definedName name="m12avl">'[5]lam-moi'!#REF!</definedName>
    <definedName name="M12ba3p">#REF!</definedName>
    <definedName name="m12banc">'[5]lam-moi'!#REF!</definedName>
    <definedName name="m12bavl">'[5]lam-moi'!#REF!</definedName>
    <definedName name="M12bb1p">#REF!</definedName>
    <definedName name="m12bbnc">'[5]lam-moi'!#REF!</definedName>
    <definedName name="m12bbvl">'[5]lam-moi'!#REF!</definedName>
    <definedName name="M12bnnc">'[5]#REF'!#REF!</definedName>
    <definedName name="M12bnvl">'[5]#REF'!#REF!</definedName>
    <definedName name="M12cbnc">#REF!</definedName>
    <definedName name="M12cbvl">#REF!</definedName>
    <definedName name="m142bnnc">'[5]lam-moi'!#REF!</definedName>
    <definedName name="m142bnvl">'[5]lam-moi'!#REF!</definedName>
    <definedName name="M14bb1p">#REF!</definedName>
    <definedName name="m14bbnc">'[5]lam-moi'!#REF!</definedName>
    <definedName name="M14bbvc">'[5]CHITIET VL-NC-TT -1p'!#REF!</definedName>
    <definedName name="m14bbvl">'[5]lam-moi'!#REF!</definedName>
    <definedName name="m2_">#REF!</definedName>
    <definedName name="m3_">#REF!</definedName>
    <definedName name="m4_">#REF!</definedName>
    <definedName name="m5_">#REF!</definedName>
    <definedName name="m6_">#REF!</definedName>
    <definedName name="m7_">#REF!</definedName>
    <definedName name="m8_">#REF!</definedName>
    <definedName name="M8a">'[5]THPDMoi  (2)'!#REF!</definedName>
    <definedName name="M8aa">'[5]THPDMoi  (2)'!#REF!</definedName>
    <definedName name="m8aanc">#REF!</definedName>
    <definedName name="m8aavl">#REF!</definedName>
    <definedName name="m8amtc">'[5]t-h HA THE'!#REF!</definedName>
    <definedName name="m8anc">'[5]lam-moi'!#REF!</definedName>
    <definedName name="m8avl">'[5]lam-moi'!#REF!</definedName>
    <definedName name="m9_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T">'[1]COAT&amp;WRAP-QIOT-#3'!#REF!</definedName>
    <definedName name="matit">#REF!</definedName>
    <definedName name="Mba1p">#REF!</definedName>
    <definedName name="Mba3p">#REF!</definedName>
    <definedName name="Mbb3p">#REF!</definedName>
    <definedName name="Mbn1p">#REF!</definedName>
    <definedName name="mbnc">'[5]lam-moi'!#REF!</definedName>
    <definedName name="mbvl">'[5]lam-moi'!#REF!</definedName>
    <definedName name="mc">#REF!</definedName>
    <definedName name="me">#REF!</definedName>
    <definedName name="MF">'[1]COAT&amp;WRAP-QIOT-#3'!#REF!</definedName>
    <definedName name="MG_A">#REF!</definedName>
    <definedName name="mmm">[5]giathanh1!#REF!</definedName>
    <definedName name="MNTHTH">[12]Solieu!$E$27</definedName>
    <definedName name="MNTN">'[11]Xuly Data'!#REF!</definedName>
    <definedName name="MNTT">'[11]Xuly Data'!#REF!</definedName>
    <definedName name="mp1x25">'[5]dongia (2)'!#REF!</definedName>
    <definedName name="MTC1P">'[5]TONG HOP VL-NC TT'!#REF!</definedName>
    <definedName name="MTC3P">'[5]TONG HOP VL-NC TT'!#REF!</definedName>
    <definedName name="MTCHC">[5]TNHCHINH!$K$38</definedName>
    <definedName name="MTCMB">'[5]#REF'!#REF!</definedName>
    <definedName name="MTMAC12">#REF!</definedName>
    <definedName name="mtr">'[5]TH XL'!#REF!</definedName>
    <definedName name="mtram">#REF!</definedName>
    <definedName name="n">#REF!</definedName>
    <definedName name="N1IN">'[5]TONGKE3p '!$U$295</definedName>
    <definedName name="n1pig">#REF!</definedName>
    <definedName name="n1pignc">'[5]lam-moi'!#REF!</definedName>
    <definedName name="n1pigvl">'[5]lam-moi'!#REF!</definedName>
    <definedName name="n1pind">#REF!</definedName>
    <definedName name="n1pindnc">'[5]lam-moi'!#REF!</definedName>
    <definedName name="n1pindvl">'[5]lam-moi'!#REF!</definedName>
    <definedName name="n1ping">#REF!</definedName>
    <definedName name="n1pingnc">'[5]lam-moi'!#REF!</definedName>
    <definedName name="n1pingvl">'[5]lam-moi'!#REF!</definedName>
    <definedName name="n1pint">#REF!</definedName>
    <definedName name="n1pintnc">'[5]lam-moi'!#REF!</definedName>
    <definedName name="n1pintvl">'[5]lam-moi'!#REF!</definedName>
    <definedName name="n24nc">'[5]lam-moi'!#REF!</definedName>
    <definedName name="n24vl">'[5]lam-moi'!#REF!</definedName>
    <definedName name="n2mignc">'[5]lam-moi'!#REF!</definedName>
    <definedName name="n2migvl">'[5]lam-moi'!#REF!</definedName>
    <definedName name="n2min1nc">'[5]lam-moi'!#REF!</definedName>
    <definedName name="n2min1vl">'[5]lam-moi'!#REF!</definedName>
    <definedName name="nc">#REF!</definedName>
    <definedName name="nc1nc">'[5]lam-moi'!#REF!</definedName>
    <definedName name="nc1p">#REF!</definedName>
    <definedName name="nc1vl">'[5]lam-moi'!#REF!</definedName>
    <definedName name="NC2.5">#REF!</definedName>
    <definedName name="NC2.7">#REF!</definedName>
    <definedName name="nc24nc">'[5]lam-moi'!#REF!</definedName>
    <definedName name="nc24vl">'[5]lam-moi'!#REF!</definedName>
    <definedName name="NC3.2">#REF!</definedName>
    <definedName name="NC3.5">#REF!</definedName>
    <definedName name="NC3.7">#REF!</definedName>
    <definedName name="nc3p">#REF!</definedName>
    <definedName name="NC4.3">#REF!</definedName>
    <definedName name="NC4.5">#REF!</definedName>
    <definedName name="nc4.6I">#REF!</definedName>
    <definedName name="NC4.7">#REF!</definedName>
    <definedName name="NCBD100">#REF!</definedName>
    <definedName name="NCBD200">#REF!</definedName>
    <definedName name="NCBD250">#REF!</definedName>
    <definedName name="NCC2.5">#REF!</definedName>
    <definedName name="NCC2.7">#REF!</definedName>
    <definedName name="NCC3.2">#REF!</definedName>
    <definedName name="NCC3.5">#REF!</definedName>
    <definedName name="NCC3.7">#REF!</definedName>
    <definedName name="NCC4.3">#REF!</definedName>
    <definedName name="NCC4.5">#REF!</definedName>
    <definedName name="NCC4.7">#REF!</definedName>
    <definedName name="nccc2">'[42]nhan cong'!#REF!</definedName>
    <definedName name="ncdd">'[5]TH XL'!#REF!</definedName>
    <definedName name="NCDD2">'[5]TH XL'!#REF!</definedName>
    <definedName name="NCHC">[5]TNHCHINH!$J$38</definedName>
    <definedName name="nctr">'[5]TH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[9]gVL!$Q$30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au">#REF!</definedName>
    <definedName name="NH">#REF!</definedName>
    <definedName name="nhn">#REF!</definedName>
    <definedName name="nhnnc">'[5]lam-moi'!#REF!</definedName>
    <definedName name="nhnvl">'[5]lam-moi'!#REF!</definedName>
    <definedName name="NHot">#REF!</definedName>
    <definedName name="nhua">#REF!</definedName>
    <definedName name="nig">#REF!</definedName>
    <definedName name="NIG13p">'[5]TONGKE3p '!$T$295</definedName>
    <definedName name="nig1p">#REF!</definedName>
    <definedName name="nig3p">#REF!</definedName>
    <definedName name="nightnc">[5]gtrinh!#REF!</definedName>
    <definedName name="nightvl">[5]gtrinh!#REF!</definedName>
    <definedName name="nignc1p">#REF!</definedName>
    <definedName name="nignc3p">'[5]CHITIET VL-NC'!$G$107</definedName>
    <definedName name="nigvl1p">#REF!</definedName>
    <definedName name="nigvl3p">'[5]CHITIET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'[5]lam-moi'!#REF!</definedName>
    <definedName name="nin190nc3p">#REF!</definedName>
    <definedName name="nin190vl">'[5]lam-moi'!#REF!</definedName>
    <definedName name="nin190vl3p">#REF!</definedName>
    <definedName name="nin1pnc">'[5]lam-moi'!#REF!</definedName>
    <definedName name="nin1pvl">'[5]lam-moi'!#REF!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'[5]lam-moi'!#REF!</definedName>
    <definedName name="nindnc1p">#REF!</definedName>
    <definedName name="nindnc3p">#REF!</definedName>
    <definedName name="nindvl">'[5]lam-moi'!#REF!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'[5]lam-moi'!#REF!</definedName>
    <definedName name="ninnc3p">#REF!</definedName>
    <definedName name="nint1p">#REF!</definedName>
    <definedName name="nintnc1p">#REF!</definedName>
    <definedName name="nintvl1p">#REF!</definedName>
    <definedName name="ninvl">'[5]lam-moi'!#REF!</definedName>
    <definedName name="ninvl3p">#REF!</definedName>
    <definedName name="nl">#REF!</definedName>
    <definedName name="NL12nc">'[5]#REF'!#REF!</definedName>
    <definedName name="NL12vl">'[5]#REF'!#REF!</definedName>
    <definedName name="nl1p">#REF!</definedName>
    <definedName name="nl3p">#REF!</definedName>
    <definedName name="nlht">'[5]THPDMoi  (2)'!#REF!</definedName>
    <definedName name="nlmtc">'[5]t-h HA THE'!#REF!</definedName>
    <definedName name="nlnc">'[5]lam-moi'!#REF!</definedName>
    <definedName name="nlnc3p">#REF!</definedName>
    <definedName name="nlnc3pha">#REF!</definedName>
    <definedName name="NLTK1p">#REF!</definedName>
    <definedName name="nlvl">'[5]lam-moi'!#REF!</definedName>
    <definedName name="nlvl1">[5]chitiet!$G$302</definedName>
    <definedName name="nlvl3p">#REF!</definedName>
    <definedName name="nn">#REF!</definedName>
    <definedName name="nn1p">#REF!</definedName>
    <definedName name="nn3p">#REF!</definedName>
    <definedName name="nnnc">'[5]lam-moi'!#REF!</definedName>
    <definedName name="nnnc3p">#REF!</definedName>
    <definedName name="nnvl">'[5]lam-moi'!#REF!</definedName>
    <definedName name="nnvl3p">#REF!</definedName>
    <definedName name="No">#REF!</definedName>
    <definedName name="nuoc">[30]gvl!$N$38</definedName>
    <definedName name="nx">'[5]THPDMoi  (2)'!#REF!</definedName>
    <definedName name="nxmtc">'[5]t-h HA THE'!#REF!</definedName>
    <definedName name="ong">[41]Sheet1!#REF!</definedName>
    <definedName name="osc">'[5]THPDMoi  (2)'!#REF!</definedName>
    <definedName name="OTHER_PANEL">'[39]NEW-PANEL'!#REF!</definedName>
    <definedName name="oxy">#REF!</definedName>
    <definedName name="P">'[1]PNT-QUOT-#3'!#REF!</definedName>
    <definedName name="PA">#REF!</definedName>
    <definedName name="PEJM">'[1]COAT&amp;WRAP-QIOT-#3'!#REF!</definedName>
    <definedName name="PF">'[1]PNT-QUOT-#3'!#REF!</definedName>
    <definedName name="pgia">#REF!</definedName>
    <definedName name="PL_???___P.B.___REST_P.B._????">'[44]NEW-PANEL'!#REF!</definedName>
    <definedName name="PL_指示燈___P.B.___REST_P.B._壓扣開關">'[39]NEW-PANEL'!#REF!</definedName>
    <definedName name="PM">[45]IBASE!$AH$16:$AV$110</definedName>
    <definedName name="PRICE">#REF!</definedName>
    <definedName name="PRICE1">#REF!</definedName>
    <definedName name="Print_Area_MI">[46]ESTI.!$A$1:$U$52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ority">'[47]SPL4-TOTAL'!$C$7:$D$67</definedName>
    <definedName name="PROPOSAL">#REF!</definedName>
    <definedName name="Province">#REF!</definedName>
    <definedName name="pt">#REF!</definedName>
    <definedName name="PT_Duong">#REF!</definedName>
    <definedName name="ptdg">#REF!</definedName>
    <definedName name="PTDG_cau">#REF!</definedName>
    <definedName name="PTNC">'[5]DON GIA'!$G$227</definedName>
    <definedName name="PTST">[48]sat!$A$6:$K$38</definedName>
    <definedName name="ptvt">'[49]ma-pt'!$A$6:$IV$228</definedName>
    <definedName name="Q">[5]giathanh1!#REF!</definedName>
    <definedName name="qh">#REF!</definedName>
    <definedName name="Quantities">#REF!</definedName>
    <definedName name="ra11p">#REF!</definedName>
    <definedName name="ra13p">#REF!</definedName>
    <definedName name="rack1">'[5]THPDMoi  (2)'!#REF!</definedName>
    <definedName name="rack2">'[5]THPDMoi  (2)'!#REF!</definedName>
    <definedName name="rack3">'[5]THPDMoi  (2)'!#REF!</definedName>
    <definedName name="rack4">'[5]THPDMoi  (2)'!#REF!</definedName>
    <definedName name="RECOUT">#N/A</definedName>
    <definedName name="Reg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ver">#REF!</definedName>
    <definedName name="River_Code">#REF!</definedName>
    <definedName name="Road_Code">#REF!</definedName>
    <definedName name="Road_Name">#REF!</definedName>
    <definedName name="RoadNo_373">#REF!</definedName>
    <definedName name="RT">'[1]COAT&amp;WRAP-QIOT-#3'!#REF!</definedName>
    <definedName name="s">#REF!</definedName>
    <definedName name="s_0">'[24]Lç khoan LK1'!#REF!</definedName>
    <definedName name="s_1">'[24]Lç khoan LK1'!#REF!</definedName>
    <definedName name="S_2">#REF!</definedName>
    <definedName name="sa">[50]DTCTduong!#REF!</definedName>
    <definedName name="San_truoc">[51]tienluong!#REF!</definedName>
    <definedName name="Sau">#REF!</definedName>
    <definedName name="SB">[45]IBASE!$AH$7:$AL$14</definedName>
    <definedName name="sc">'[24]Lç khoan LK1'!$K$8</definedName>
    <definedName name="SCH">#REF!</definedName>
    <definedName name="scm">'[42]nhan cong'!#REF!</definedName>
    <definedName name="scr">[9]gVL!$Q$33</definedName>
    <definedName name="sd3p">'[5]lam-moi'!#REF!</definedName>
    <definedName name="sdfs">'[42]nhan cong'!#REF!</definedName>
    <definedName name="SDMONG">#REF!</definedName>
    <definedName name="sdo">[36]gvl!$N$35</definedName>
    <definedName name="sgnc">[5]gtrinh!#REF!</definedName>
    <definedName name="sgvl">[5]gtrinh!#REF!</definedName>
    <definedName name="Sheet1">#REF!</definedName>
    <definedName name="sht">'[5]THPDMoi  (2)'!#REF!</definedName>
    <definedName name="sht3p">'[5]lam-moi'!#REF!</definedName>
    <definedName name="SIZE">#REF!</definedName>
    <definedName name="skd">[9]gVL!$Q$37</definedName>
    <definedName name="SL_CRD">#REF!</definedName>
    <definedName name="SL_CRS">#REF!</definedName>
    <definedName name="SL_CS">#REF!</definedName>
    <definedName name="SL_DD">#REF!</definedName>
    <definedName name="soc3p">#REF!</definedName>
    <definedName name="Soi">#REF!</definedName>
    <definedName name="Soi_HamYen">[18]T.Tinh!#REF!</definedName>
    <definedName name="sol">#REF!</definedName>
    <definedName name="Solan">'[11]Xuly Data'!#REF!</definedName>
    <definedName name="solieu">#REF!</definedName>
    <definedName name="SORT">#REF!</definedName>
    <definedName name="SORT_AREA">'[46]DI-ESTI'!$A$8:$R$489</definedName>
    <definedName name="SP">'[1]PNT-QUOT-#3'!#REF!</definedName>
    <definedName name="SPAN">#REF!</definedName>
    <definedName name="SPAN_No">#REF!</definedName>
    <definedName name="SPEC">#REF!</definedName>
    <definedName name="SPECSUMMARY">#REF!</definedName>
    <definedName name="spk1p">'[5]#REF'!#REF!</definedName>
    <definedName name="spk3p">'[5]lam-moi'!#REF!</definedName>
    <definedName name="st">#REF!</definedName>
    <definedName name="st3p">'[5]lam-moi'!#REF!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r">[36]gvl!$N$34</definedName>
    <definedName name="SUMMARY">#REF!</definedName>
    <definedName name="t">[28]Loading!#REF!</definedName>
    <definedName name="T.nhËp">#REF!</definedName>
    <definedName name="t_1">'[24]Lç khoan LK1'!#REF!</definedName>
    <definedName name="t101p">#REF!</definedName>
    <definedName name="t103p">#REF!</definedName>
    <definedName name="t105mnc">'[5]thao-go'!#REF!</definedName>
    <definedName name="t10m">'[5]lam-moi'!#REF!</definedName>
    <definedName name="t10nc">'[5]lam-moi'!#REF!</definedName>
    <definedName name="t10nc1p">#REF!</definedName>
    <definedName name="t10ncm">'[5]lam-moi'!#REF!</definedName>
    <definedName name="t10vl">'[5]lam-moi'!#REF!</definedName>
    <definedName name="t10vl1p">#REF!</definedName>
    <definedName name="t121p">#REF!</definedName>
    <definedName name="t123p">#REF!</definedName>
    <definedName name="t12m">'[5]lam-moi'!#REF!</definedName>
    <definedName name="t12mnc">'[5]thao-go'!#REF!</definedName>
    <definedName name="t12nc">'[5]lam-moi'!#REF!</definedName>
    <definedName name="t12nc3p">'[5]CHITIET VL-NC'!$G$38</definedName>
    <definedName name="t12ncm">'[5]lam-moi'!#REF!</definedName>
    <definedName name="t12vl">'[5]lam-moi'!#REF!</definedName>
    <definedName name="t12vl3p">'[5]CHITIET VL-NC'!$G$34</definedName>
    <definedName name="t141p">#REF!</definedName>
    <definedName name="t143p">#REF!</definedName>
    <definedName name="t14m">'[5]lam-moi'!#REF!</definedName>
    <definedName name="t14mnc">'[5]thao-go'!#REF!</definedName>
    <definedName name="t14nc">'[5]lam-moi'!#REF!</definedName>
    <definedName name="t14nc3p">#REF!</definedName>
    <definedName name="t14ncm">'[5]lam-moi'!#REF!</definedName>
    <definedName name="T14vc">'[5]CHITIET VL-NC-TT -1p'!#REF!</definedName>
    <definedName name="t14vl">'[5]lam-moi'!#REF!</definedName>
    <definedName name="t14vl3p">#REF!</definedName>
    <definedName name="T203P">[5]VC!#REF!</definedName>
    <definedName name="t20m">'[5]lam-moi'!#REF!</definedName>
    <definedName name="t20ncm">'[5]lam-moi'!#REF!</definedName>
    <definedName name="t7m">'[5]THPDMoi  (2)'!#REF!</definedName>
    <definedName name="t7nc">'[5]lam-moi'!#REF!</definedName>
    <definedName name="t7vl">'[5]lam-moi'!#REF!</definedName>
    <definedName name="t84mnc">'[5]thao-go'!#REF!</definedName>
    <definedName name="t8m">'[5]THPDMoi  (2)'!#REF!</definedName>
    <definedName name="t8nc">'[5]lam-moi'!#REF!</definedName>
    <definedName name="t8vl">'[5]lam-moi'!#REF!</definedName>
    <definedName name="tadao">#REF!</definedName>
    <definedName name="Tai_trong">#REF!</definedName>
    <definedName name="Taikhoan">'[52]Tai khoan'!$A$3:$C$93</definedName>
    <definedName name="Tam">#REF!</definedName>
    <definedName name="TaxTV">10%</definedName>
    <definedName name="TaxXL">5%</definedName>
    <definedName name="tb">[9]gVL!$Q$29</definedName>
    <definedName name="TBA">#REF!</definedName>
    <definedName name="tbdd1p">'[5]lam-moi'!#REF!</definedName>
    <definedName name="tbdd3p">'[5]lam-moi'!#REF!</definedName>
    <definedName name="tbddsdl">'[5]lam-moi'!#REF!</definedName>
    <definedName name="TBI">'[5]TH XL'!#REF!</definedName>
    <definedName name="tbtr">'[5]TH XL'!#REF!</definedName>
    <definedName name="tbtram">#REF!</definedName>
    <definedName name="TC">#REF!</definedName>
    <definedName name="TC_NHANH1">#REF!</definedName>
    <definedName name="tcxxnc">'[5]thao-go'!#REF!</definedName>
    <definedName name="td">'[5]THPDMoi  (2)'!#REF!</definedName>
    <definedName name="td10vl">'[5]#REF'!#REF!</definedName>
    <definedName name="td12nc">'[5]#REF'!#REF!</definedName>
    <definedName name="td1cnc">'[5]lam-moi'!#REF!</definedName>
    <definedName name="td1cvl">'[5]lam-moi'!#REF!</definedName>
    <definedName name="td1p">#REF!</definedName>
    <definedName name="TD1pnc">'[5]CHITIET VL-NC-TT -1p'!#REF!</definedName>
    <definedName name="TD1pvl">'[5]CHITIET VL-NC-TT -1p'!#REF!</definedName>
    <definedName name="td3p">#REF!</definedName>
    <definedName name="tdc84nc">'[5]thao-go'!#REF!</definedName>
    <definedName name="tdcnc">'[5]thao-go'!#REF!</definedName>
    <definedName name="tdgnc">'[5]lam-moi'!#REF!</definedName>
    <definedName name="tdgvl">'[5]lam-moi'!#REF!</definedName>
    <definedName name="tdhtnc">'[5]lam-moi'!#REF!</definedName>
    <definedName name="tdhtvl">'[5]lam-moi'!#REF!</definedName>
    <definedName name="tdnc">[5]gtrinh!#REF!</definedName>
    <definedName name="tdnc1p">#REF!</definedName>
    <definedName name="tdnc3p">'[5]CHITIET VL-NC'!$G$28</definedName>
    <definedName name="tdo">#REF!</definedName>
    <definedName name="tdt1pnc">[5]gtrinh!#REF!</definedName>
    <definedName name="tdt1pvl">[5]gtrinh!#REF!</definedName>
    <definedName name="tdt2cnc">'[5]lam-moi'!#REF!</definedName>
    <definedName name="tdt2cvl">[5]chitiet!#REF!</definedName>
    <definedName name="tdtr2cnc">#REF!</definedName>
    <definedName name="tdtr2cvl">#REF!</definedName>
    <definedName name="tdtrnc">[5]gtrinh!#REF!</definedName>
    <definedName name="tdtrvl">[5]gtrinh!#REF!</definedName>
    <definedName name="tdvl">[5]gtrinh!#REF!</definedName>
    <definedName name="tdvl1p">#REF!</definedName>
    <definedName name="tdvl3p">'[5]CHITIET VL-NC'!$G$23</definedName>
    <definedName name="temp">#REF!</definedName>
    <definedName name="Temp_Br">#REF!</definedName>
    <definedName name="TEMPBR">#REF!</definedName>
    <definedName name="tenvung">#REF!</definedName>
    <definedName name="TG">[53]Name!$C$4</definedName>
    <definedName name="th">#REF!</definedName>
    <definedName name="th3x15">[5]giathanh1!#REF!</definedName>
    <definedName name="tha" hidden="1">{"'Sheet1'!$L$16"}</definedName>
    <definedName name="ThanhXuan110">'[54]KH-Q1,Q2,01'!#REF!</definedName>
    <definedName name="ThaoCauCu">#REF!</definedName>
    <definedName name="THDS">#REF!</definedName>
    <definedName name="THDT_CT_XOM_NOI">'[55]Du Toan'!#REF!</definedName>
    <definedName name="THDT_HT_DAO_THUONG">#REF!</definedName>
    <definedName name="THDT_HT_XOM_NOI">#REF!</definedName>
    <definedName name="THDT_NPP_XOM_NOI">#REF!</definedName>
    <definedName name="THDT_TBA_XOM_NOI">#REF!</definedName>
    <definedName name="ThepDet32x3">[18]T.Tinh!#REF!</definedName>
    <definedName name="ThepDet35x3">[18]T.Tinh!#REF!</definedName>
    <definedName name="ThepDet40x4">[18]T.Tinh!#REF!</definedName>
    <definedName name="ThepDet45x4">[18]T.Tinh!#REF!</definedName>
    <definedName name="ThepDet50x5">[18]T.Tinh!#REF!</definedName>
    <definedName name="ThepDet63x6">[18]T.Tinh!#REF!</definedName>
    <definedName name="ThepDet75x6">[18]T.Tinh!#REF!</definedName>
    <definedName name="thepDet75x7">'[56]4'!$K$23</definedName>
    <definedName name="ThepGoc32x32x3">[18]T.Tinh!#REF!</definedName>
    <definedName name="ThepGoc35x35x3">[18]T.Tinh!#REF!</definedName>
    <definedName name="ThepGoc40x40x4">[18]T.Tinh!#REF!</definedName>
    <definedName name="ThepGoc45x45x4">[18]T.Tinh!#REF!</definedName>
    <definedName name="ThepGoc50x50x5">[18]T.Tinh!#REF!</definedName>
    <definedName name="ThepGoc63x63x6">[18]T.Tinh!#REF!</definedName>
    <definedName name="ThepGoc75x6">'[56]4'!$K$16</definedName>
    <definedName name="ThepGoc75x75x6">[18]T.Tinh!#REF!</definedName>
    <definedName name="ThepTronD10D18">[18]T.Tinh!#REF!</definedName>
    <definedName name="ThepTronD6D8">[18]T.Tinh!#REF!</definedName>
    <definedName name="THGO1pnc">#REF!</definedName>
    <definedName name="thht">#REF!</definedName>
    <definedName name="thinh">#REF!</definedName>
    <definedName name="THK">'[1]COAT&amp;WRAP-QIOT-#3'!#REF!</definedName>
    <definedName name="THKP160">'[5]dongia (2)'!#REF!</definedName>
    <definedName name="thkp3">#REF!</definedName>
    <definedName name="Thop">#REF!</definedName>
    <definedName name="THop2">#REF!</definedName>
    <definedName name="THToanBo">#REF!</definedName>
    <definedName name="THtoanbo2">#REF!</definedName>
    <definedName name="thtr15">[5]giathanh1!#REF!</definedName>
    <definedName name="thtt">#REF!</definedName>
    <definedName name="thucthanh">'[57]Thuc thanh'!$E$29</definedName>
    <definedName name="THUYETMINH">[58]ptvt!$A$6:$X$128</definedName>
    <definedName name="Tien">#REF!</definedName>
    <definedName name="TIENLUONG">#REF!</definedName>
    <definedName name="Tiepdia">[5]Tiepdia!$A:$IV</definedName>
    <definedName name="Tim_lan_xuat_hien">[59]PTDG!$E$19:$E$1524</definedName>
    <definedName name="TITAN">#REF!</definedName>
    <definedName name="TK">#REF!</definedName>
    <definedName name="TkCto">[60]Tong_ke!$Q$5:$R$133</definedName>
    <definedName name="TKP">#REF!</definedName>
    <definedName name="TL">[6]ND!#REF!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N_b_qu_n">#REF!</definedName>
    <definedName name="tn1pinnc">'[5]thao-go'!#REF!</definedName>
    <definedName name="tn2mhnnc">'[5]thao-go'!#REF!</definedName>
    <definedName name="TNCM">'[5]CHITIET VL-NC-TT-3p'!#REF!</definedName>
    <definedName name="tnhnnc">'[5]thao-go'!#REF!</definedName>
    <definedName name="tnignc">'[5]thao-go'!#REF!</definedName>
    <definedName name="tnin190nc">'[5]thao-go'!#REF!</definedName>
    <definedName name="tnlnc">'[5]thao-go'!#REF!</definedName>
    <definedName name="tnnnc">'[5]thao-go'!#REF!</definedName>
    <definedName name="tno">[9]gVL!$Q$47</definedName>
    <definedName name="ton">#REF!</definedName>
    <definedName name="totb">'[61]DO AM DT'!#REF!</definedName>
    <definedName name="totb1">'[61]DO AM DT'!#REF!</definedName>
    <definedName name="totb2">'[61]DO AM DT'!#REF!</definedName>
    <definedName name="totb3">'[61]DO AM DT'!#REF!</definedName>
    <definedName name="totb4">'[61]DO AM DT'!#REF!</definedName>
    <definedName name="totb5">'[61]DO AM DT'!#REF!</definedName>
    <definedName name="totb6">'[61]DO AM DT'!#REF!</definedName>
    <definedName name="TPLRP">#REF!</definedName>
    <definedName name="TR15HT">'[5]TONGKE-HT'!#REF!</definedName>
    <definedName name="TR16HT">'[5]TONGKE-HT'!#REF!</definedName>
    <definedName name="TR19HT">'[5]TONGKE-HT'!#REF!</definedName>
    <definedName name="tr1x15">[5]giathanh1!#REF!</definedName>
    <definedName name="TR20HT">'[5]TONGKE-HT'!#REF!</definedName>
    <definedName name="tr3x100">'[5]dongia (2)'!#REF!</definedName>
    <definedName name="Tra_DM_su_dung">#REF!</definedName>
    <definedName name="Tra_don_gia_KS">#REF!</definedName>
    <definedName name="Tra_DTCT">#REF!</definedName>
    <definedName name="Tra_GTXLST">[62]DTCT!$C$10:$J$438</definedName>
    <definedName name="Tra_phan_tram">[63]Tra_bang!#REF!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1">'[64]tra-vat-lieu'!$G$4:$J$193</definedName>
    <definedName name="tra_VL_1">'[65]tra-vat-lieu'!$A$201:$H$215</definedName>
    <definedName name="TRADE2">#REF!</definedName>
    <definedName name="TRAM">#REF!</definedName>
    <definedName name="tram100">'[5]dongia (2)'!#REF!</definedName>
    <definedName name="tram1x25">'[5]dongia (2)'!#REF!</definedName>
    <definedName name="TRANSFORMER">'[39]NEW-PANEL'!#REF!</definedName>
    <definedName name="TraTH">'[66]dtct cong'!$A$9:$A$649</definedName>
    <definedName name="TRAvH">#REF!</definedName>
    <definedName name="_xlnm.Extract">#REF!</definedName>
    <definedName name="TronD10D18">'[56]4'!$K$14</definedName>
    <definedName name="TronD6D8">'[56]4'!$K$13</definedName>
    <definedName name="tru10mtc">'[5]t-h HA THE'!#REF!</definedName>
    <definedName name="tru8mtc">'[5]t-h HA THE'!#REF!</definedName>
    <definedName name="ts">#REF!</definedName>
    <definedName name="tsI">#REF!</definedName>
    <definedName name="TT">#REF!</definedName>
    <definedName name="TT_1P">#REF!</definedName>
    <definedName name="TT_3p">#REF!</definedName>
    <definedName name="tt1pnc">'[5]lam-moi'!#REF!</definedName>
    <definedName name="tt1pvl">'[5]lam-moi'!#REF!</definedName>
    <definedName name="tt3pnc">'[5]lam-moi'!#REF!</definedName>
    <definedName name="tt3pvl">'[5]lam-moi'!#REF!</definedName>
    <definedName name="ttam">#REF!</definedName>
    <definedName name="ttao">#REF!</definedName>
    <definedName name="TTDD">[5]TDTKP!$E$44+[5]TDTKP!$F$44+[5]TDTKP!$G$44</definedName>
    <definedName name="TTDD3P">[5]TDTKP1!#REF!</definedName>
    <definedName name="TTDDCT3p">[5]TDTKP1!#REF!</definedName>
    <definedName name="tthi">#REF!</definedName>
    <definedName name="TTK3p">'[5]TONGKE3p '!$C$295</definedName>
    <definedName name="ttronmk">#REF!</definedName>
    <definedName name="tttt">#REF!</definedName>
    <definedName name="TuVan">#REF!</definedName>
    <definedName name="tv75nc">#REF!</definedName>
    <definedName name="tv75vl">#REF!</definedName>
    <definedName name="tx1pignc">'[5]thao-go'!#REF!</definedName>
    <definedName name="tx1pindnc">'[5]thao-go'!#REF!</definedName>
    <definedName name="tx1pingnc">'[5]thao-go'!#REF!</definedName>
    <definedName name="tx1pintnc">'[5]thao-go'!#REF!</definedName>
    <definedName name="tx1pitnc">'[5]thao-go'!#REF!</definedName>
    <definedName name="tx2mhnnc">'[5]thao-go'!#REF!</definedName>
    <definedName name="tx2mitnc">'[5]thao-go'!#REF!</definedName>
    <definedName name="txhnnc">'[5]thao-go'!#REF!</definedName>
    <definedName name="txig1nc">'[5]thao-go'!#REF!</definedName>
    <definedName name="txin190nc">'[5]thao-go'!#REF!</definedName>
    <definedName name="txinnc">'[5]thao-go'!#REF!</definedName>
    <definedName name="txit1nc">'[5]thao-go'!#REF!</definedName>
    <definedName name="ty_le">#REF!</definedName>
    <definedName name="ty_le_BTN">#REF!</definedName>
    <definedName name="Ty_le1">#REF!</definedName>
    <definedName name="Type_1">#REF!</definedName>
    <definedName name="Type_2">#REF!</definedName>
    <definedName name="u">'[67]Coc 32 m(Cho mo)'!#REF!</definedName>
    <definedName name="U_tien">#REF!</definedName>
    <definedName name="ui">'[68]HE SO'!$F$15</definedName>
    <definedName name="ut">#REF!</definedName>
    <definedName name="UT_1">#REF!</definedName>
    <definedName name="UT1_373">#REF!</definedName>
    <definedName name="v">'[56]4'!$K$24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">[6]ND!#REF!</definedName>
    <definedName name="VanChuyenDam">#REF!</definedName>
    <definedName name="VARIINST">#REF!</definedName>
    <definedName name="VARIPURC">#REF!</definedName>
    <definedName name="VCDD3p">'[5]KPVC-BD '!#REF!</definedName>
    <definedName name="VCHT">#REF!</definedName>
    <definedName name="VCTT">#REF!</definedName>
    <definedName name="VCVBT1">'[5]VCV-BE-TONG'!$G$11</definedName>
    <definedName name="VCVBT2">'[5]VCV-BE-TONG'!$G$17</definedName>
    <definedName name="vd3p">#REF!</definedName>
    <definedName name="vdkt">[9]gVL!$Q$55</definedName>
    <definedName name="vkds">[16]DG!#REF!</definedName>
    <definedName name="vktc">[16]DG!#REF!</definedName>
    <definedName name="vl1p">#REF!</definedName>
    <definedName name="vl3p">#REF!</definedName>
    <definedName name="vldd">'[5]TH XL'!#REF!</definedName>
    <definedName name="vldn400">#REF!</definedName>
    <definedName name="vldn600">#REF!</definedName>
    <definedName name="VLHC">[5]TNHCHINH!$I$38</definedName>
    <definedName name="VLIEU">#REF!</definedName>
    <definedName name="vltco">[69]DG1!#REF!</definedName>
    <definedName name="vltr">'[5]TH XL'!#REF!</definedName>
    <definedName name="vltram">#REF!</definedName>
    <definedName name="Vr">'[14]B-B'!$F$59</definedName>
    <definedName name="vr3p">#REF!</definedName>
    <definedName name="vt1pbs">'[5]lam-moi'!#REF!</definedName>
    <definedName name="vtbs">'[5]lam-moi'!#REF!</definedName>
    <definedName name="_xlnm.Print_Area">'[14]B-B'!$A$1:$K$63</definedName>
    <definedName name="vxuan">#REF!</definedName>
    <definedName name="W">#REF!</definedName>
    <definedName name="wrn.chi._.tiÆt." hidden="1">{#N/A,#N/A,FALSE,"Chi tiÆt"}</definedName>
    <definedName name="X">#REF!</definedName>
    <definedName name="x17dnc">[5]chitiet!#REF!</definedName>
    <definedName name="x17dvl">[5]chitiet!#REF!</definedName>
    <definedName name="x17knc">[5]chitiet!#REF!</definedName>
    <definedName name="x17kvl">[5]chitiet!#REF!</definedName>
    <definedName name="X1pFCOnc">'[5]CHITIET VL-NC-TT -1p'!#REF!</definedName>
    <definedName name="X1pFCOvc">'[5]CHITIET VL-NC-TT -1p'!#REF!</definedName>
    <definedName name="X1pFCOvl">'[5]CHITIET VL-NC-TT -1p'!#REF!</definedName>
    <definedName name="x1pignc">'[5]lam-moi'!#REF!</definedName>
    <definedName name="X1pIGvc">'[5]CHITIET VL-NC-TT -1p'!#REF!</definedName>
    <definedName name="x1pigvl">'[5]lam-moi'!#REF!</definedName>
    <definedName name="x1pind">#REF!</definedName>
    <definedName name="x1pindnc">'[5]lam-moi'!#REF!</definedName>
    <definedName name="x1pindvl">'[5]lam-moi'!#REF!</definedName>
    <definedName name="x1ping">#REF!</definedName>
    <definedName name="x1pingnc">'[5]lam-moi'!#REF!</definedName>
    <definedName name="x1pingvl">'[5]lam-moi'!#REF!</definedName>
    <definedName name="x1pint">#REF!</definedName>
    <definedName name="x1pintnc">'[5]lam-moi'!#REF!</definedName>
    <definedName name="X1pINTvc">'[5]CHITIET VL-NC-TT -1p'!#REF!</definedName>
    <definedName name="x1pintvl">'[5]lam-moi'!#REF!</definedName>
    <definedName name="x1pitnc">'[5]lam-moi'!#REF!</definedName>
    <definedName name="X1pITvc">'[5]CHITIET VL-NC-TT -1p'!#REF!</definedName>
    <definedName name="x1pitvl">'[5]lam-moi'!#REF!</definedName>
    <definedName name="x20knc">[5]chitiet!#REF!</definedName>
    <definedName name="x20kvl">[5]chitiet!#REF!</definedName>
    <definedName name="x22knc">[5]chitiet!#REF!</definedName>
    <definedName name="x22kvl">[5]chitiet!#REF!</definedName>
    <definedName name="x2mig1nc">'[5]lam-moi'!#REF!</definedName>
    <definedName name="x2mig1vl">'[5]lam-moi'!#REF!</definedName>
    <definedName name="x2min1nc">'[5]lam-moi'!#REF!</definedName>
    <definedName name="x2min1vl">'[5]lam-moi'!#REF!</definedName>
    <definedName name="x2mit1vl">'[5]lam-moi'!#REF!</definedName>
    <definedName name="x2mitnc">'[5]lam-moi'!#REF!</definedName>
    <definedName name="x4.1.1">'[10]4.1.1'!$G$46</definedName>
    <definedName name="x4.3.21">'[10]4.3.2'!$E$45</definedName>
    <definedName name="x4.3.22">'[10]4.3.2'!$F$45</definedName>
    <definedName name="XCCT">0.5</definedName>
    <definedName name="xdsnc">[5]gtrinh!#REF!</definedName>
    <definedName name="xdsvl">[5]gtrinh!#REF!</definedName>
    <definedName name="xfco">#REF!</definedName>
    <definedName name="xfco3p">#REF!</definedName>
    <definedName name="xfconc">'[5]lam-moi'!#REF!</definedName>
    <definedName name="xfconc3p">'[5]CHITIET VL-NC'!$G$94</definedName>
    <definedName name="xfcotnc">#REF!</definedName>
    <definedName name="xfcotvl">#REF!</definedName>
    <definedName name="xfcovl">'[5]lam-moi'!#REF!</definedName>
    <definedName name="xfcovl3p">'[5]CHITIET VL-NC'!$G$90</definedName>
    <definedName name="xfnc">'[5]lam-moi'!#REF!</definedName>
    <definedName name="xfvl">'[5]lam-moi'!#REF!</definedName>
    <definedName name="xh">#REF!</definedName>
    <definedName name="xhn">#REF!</definedName>
    <definedName name="xhnnc">'[5]lam-moi'!#REF!</definedName>
    <definedName name="xhnvl">'[5]lam-moi'!#REF!</definedName>
    <definedName name="xig">#REF!</definedName>
    <definedName name="xig1">#REF!</definedName>
    <definedName name="xig1nc">'[5]lam-moi'!#REF!</definedName>
    <definedName name="xig1p">#REF!</definedName>
    <definedName name="xig1pnc">'[5]lam-moi'!#REF!</definedName>
    <definedName name="xig1pvl">'[5]lam-moi'!#REF!</definedName>
    <definedName name="xig1vl">'[5]lam-moi'!#REF!</definedName>
    <definedName name="xig2nc">'[5]lam-moi'!#REF!</definedName>
    <definedName name="xig2vl">'[5]lam-moi'!#REF!</definedName>
    <definedName name="xig3p">#REF!</definedName>
    <definedName name="xiggnc">'[5]CHITIET VL-NC'!$G$57</definedName>
    <definedName name="xiggvl">'[5]CHITIET VL-NC'!$G$53</definedName>
    <definedName name="xignc">'[5]lam-moi'!#REF!</definedName>
    <definedName name="xignc3p">#REF!</definedName>
    <definedName name="xigvl">'[5]lam-moi'!#REF!</definedName>
    <definedName name="xigvl3p">#REF!</definedName>
    <definedName name="XiMangPCB30">[18]T.Tinh!#REF!</definedName>
    <definedName name="xin">#REF!</definedName>
    <definedName name="xin190">#REF!</definedName>
    <definedName name="xin1903p">#REF!</definedName>
    <definedName name="xin190nc">'[5]lam-moi'!#REF!</definedName>
    <definedName name="xin190nc3p">'[5]CHITIET VL-NC'!$G$76</definedName>
    <definedName name="xin190vl">'[5]lam-moi'!#REF!</definedName>
    <definedName name="xin190vl3p">'[5]CHITIET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'[5]lam-moi'!#REF!</definedName>
    <definedName name="xin901vl">'[5]lam-moi'!#REF!</definedName>
    <definedName name="xind">#REF!</definedName>
    <definedName name="xind1p">#REF!</definedName>
    <definedName name="xind1pnc">'[5]lam-moi'!#REF!</definedName>
    <definedName name="xind1pvl">'[5]lam-moi'!#REF!</definedName>
    <definedName name="xind3p">#REF!</definedName>
    <definedName name="xindnc">'[5]lam-moi'!#REF!</definedName>
    <definedName name="xindnc1p">#REF!</definedName>
    <definedName name="xindnc3p">'[5]CHITIET VL-NC'!$G$85</definedName>
    <definedName name="xindvl">'[5]lam-moi'!#REF!</definedName>
    <definedName name="xindvl1p">#REF!</definedName>
    <definedName name="xindvl3p">'[5]CHITIET VL-NC'!$G$80</definedName>
    <definedName name="xing1p">#REF!</definedName>
    <definedName name="xing1pnc">'[5]lam-moi'!#REF!</definedName>
    <definedName name="xing1pvl">'[5]lam-moi'!#REF!</definedName>
    <definedName name="xingnc1p">#REF!</definedName>
    <definedName name="xingvl1p">#REF!</definedName>
    <definedName name="xinnc">'[5]lam-moi'!#REF!</definedName>
    <definedName name="xinnc3p">#REF!</definedName>
    <definedName name="xint1p">#REF!</definedName>
    <definedName name="xinvl">'[5]lam-moi'!#REF!</definedName>
    <definedName name="xinvl3p">#REF!</definedName>
    <definedName name="xit">#REF!</definedName>
    <definedName name="xit1">#REF!</definedName>
    <definedName name="xit1nc">'[5]lam-moi'!#REF!</definedName>
    <definedName name="xit1p">#REF!</definedName>
    <definedName name="xit1pnc">'[5]lam-moi'!#REF!</definedName>
    <definedName name="xit1pvl">'[5]lam-moi'!#REF!</definedName>
    <definedName name="xit1vl">'[5]lam-moi'!#REF!</definedName>
    <definedName name="xit2nc">'[5]lam-moi'!#REF!</definedName>
    <definedName name="xit2nc3p">#REF!</definedName>
    <definedName name="xit2vl">'[5]lam-moi'!#REF!</definedName>
    <definedName name="xit2vl3p">#REF!</definedName>
    <definedName name="xit3p">#REF!</definedName>
    <definedName name="xitnc">'[5]lam-moi'!#REF!</definedName>
    <definedName name="xitnc3p">#REF!</definedName>
    <definedName name="xittnc">'[5]CHITIET VL-NC'!$G$48</definedName>
    <definedName name="xittvl">'[5]CHITIET VL-NC'!$G$44</definedName>
    <definedName name="xitvl">'[5]lam-moi'!#REF!</definedName>
    <definedName name="xitvl3p">#REF!</definedName>
    <definedName name="XM">#REF!</definedName>
    <definedName name="xmp40">#REF!</definedName>
    <definedName name="xn">#REF!</definedName>
    <definedName name="xr1nc">'[5]lam-moi'!#REF!</definedName>
    <definedName name="xr1vl">'[5]lam-moi'!#REF!</definedName>
    <definedName name="xtr3pnc">[5]gtrinh!#REF!</definedName>
    <definedName name="xtr3pvl">[5]gtrinh!#REF!</definedName>
    <definedName name="Xuat_hien1">[70]DTCT!$A$7:$A$157</definedName>
    <definedName name="XXX1">'[10]2.3.3'!#REF!</definedName>
    <definedName name="xy2.5.1">'[10]2.5.1'!$E$164</definedName>
    <definedName name="xy5.3.1">'[10]5.3.1'!$E$72</definedName>
    <definedName name="xz2.5.1">'[10]2.5.1'!$F$164</definedName>
    <definedName name="xz5.3.1">'[10]5.3.1'!$F$72</definedName>
    <definedName name="yy">#REF!</definedName>
    <definedName name="z112.4.3">'[10]2.4.3'!$F$64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87" l="1"/>
  <c r="C2" i="87"/>
  <c r="B28" i="90"/>
  <c r="B29" i="90"/>
  <c r="B30" i="90"/>
  <c r="B31" i="90"/>
  <c r="B32" i="90"/>
  <c r="B33" i="90"/>
  <c r="B34" i="90"/>
  <c r="B35" i="90"/>
  <c r="B36" i="90"/>
  <c r="B37" i="90"/>
  <c r="B38" i="90"/>
  <c r="B39" i="90"/>
  <c r="B40" i="90"/>
  <c r="B41" i="90"/>
  <c r="B42" i="90"/>
  <c r="B43" i="90"/>
  <c r="B44" i="90"/>
  <c r="B45" i="90"/>
  <c r="B46" i="90"/>
  <c r="B47" i="90"/>
  <c r="B48" i="90"/>
  <c r="B49" i="90"/>
  <c r="B50" i="90"/>
  <c r="B51" i="90"/>
  <c r="B52" i="90"/>
  <c r="B53" i="90"/>
  <c r="B54" i="90"/>
  <c r="B55" i="90"/>
  <c r="B56" i="90"/>
  <c r="B57" i="90"/>
  <c r="B58" i="90"/>
  <c r="B59" i="90"/>
  <c r="B60" i="90"/>
  <c r="B61" i="90"/>
  <c r="B62" i="90"/>
  <c r="B63" i="90"/>
  <c r="B64" i="90"/>
  <c r="B65" i="90"/>
  <c r="B66" i="90"/>
  <c r="B67" i="90"/>
  <c r="B68" i="90"/>
  <c r="B69" i="90"/>
  <c r="B70" i="90"/>
  <c r="B71" i="90"/>
  <c r="B72" i="90"/>
  <c r="B73" i="90"/>
  <c r="B74" i="90"/>
  <c r="B75" i="90"/>
  <c r="B76" i="90"/>
  <c r="B77" i="90"/>
  <c r="B78" i="90"/>
  <c r="B79" i="90"/>
  <c r="B80" i="90"/>
  <c r="B81" i="90"/>
  <c r="B82" i="90"/>
  <c r="B83" i="90"/>
  <c r="B84" i="90"/>
  <c r="B85" i="90"/>
  <c r="B86" i="90"/>
  <c r="B87" i="90"/>
  <c r="B88" i="90"/>
  <c r="B89" i="90"/>
  <c r="B90" i="90"/>
  <c r="B91" i="90"/>
  <c r="B92" i="90"/>
  <c r="B93" i="90"/>
  <c r="B94" i="90"/>
  <c r="B95" i="90"/>
  <c r="B96" i="90"/>
  <c r="B97" i="90"/>
  <c r="B98" i="90"/>
  <c r="B99" i="90"/>
  <c r="B100" i="90"/>
  <c r="B101" i="90"/>
  <c r="B102" i="90"/>
  <c r="B103" i="90"/>
  <c r="B104" i="90"/>
  <c r="B105" i="90"/>
  <c r="B106" i="90"/>
  <c r="B107" i="90"/>
  <c r="B108" i="90"/>
  <c r="B109" i="90"/>
  <c r="B110" i="90"/>
  <c r="B111" i="90"/>
  <c r="B112" i="90"/>
  <c r="B113" i="90"/>
  <c r="B114" i="90"/>
  <c r="B115" i="90"/>
  <c r="B116" i="90"/>
  <c r="B117" i="90"/>
  <c r="B118" i="90"/>
  <c r="B119" i="90"/>
  <c r="B120" i="90"/>
  <c r="B121" i="90"/>
  <c r="B122" i="90"/>
  <c r="B123" i="90"/>
  <c r="B124" i="90"/>
  <c r="B125" i="90"/>
  <c r="B126" i="90"/>
  <c r="B127" i="90"/>
  <c r="B128" i="90"/>
  <c r="B129" i="90"/>
  <c r="B130" i="90"/>
  <c r="B131" i="90"/>
  <c r="B132" i="90"/>
  <c r="B133" i="90"/>
  <c r="B134" i="90"/>
  <c r="B135" i="90"/>
  <c r="B136" i="90"/>
  <c r="B137" i="90"/>
  <c r="B138" i="90"/>
  <c r="B139" i="90"/>
  <c r="B140" i="90"/>
  <c r="B141" i="90"/>
  <c r="B142" i="90"/>
  <c r="B143" i="90"/>
  <c r="B144" i="90"/>
  <c r="B145" i="90"/>
  <c r="B146" i="90"/>
  <c r="B147" i="90"/>
  <c r="B148" i="90"/>
  <c r="B149" i="90"/>
  <c r="B150" i="90"/>
  <c r="B151" i="90"/>
  <c r="B152" i="90"/>
  <c r="B153" i="90"/>
  <c r="B154" i="90"/>
  <c r="B155" i="90"/>
  <c r="B156" i="90"/>
  <c r="B157" i="90"/>
  <c r="B158" i="90"/>
  <c r="B159" i="90"/>
  <c r="B160" i="90"/>
  <c r="B161" i="90"/>
  <c r="B162" i="90"/>
  <c r="B163" i="90"/>
  <c r="B164" i="90"/>
  <c r="B165" i="90"/>
  <c r="B166" i="90"/>
  <c r="B167" i="90"/>
  <c r="B168" i="90"/>
  <c r="B169" i="90"/>
  <c r="B170" i="90"/>
  <c r="B171" i="90"/>
  <c r="B172" i="90"/>
  <c r="B173" i="90"/>
  <c r="B174" i="90"/>
  <c r="B175" i="90"/>
  <c r="B176" i="90"/>
  <c r="B177" i="90"/>
  <c r="B178" i="90"/>
  <c r="B179" i="90"/>
  <c r="B180" i="90"/>
  <c r="B181" i="90"/>
  <c r="B182" i="90"/>
  <c r="B183" i="90"/>
  <c r="B184" i="90"/>
  <c r="B185" i="90"/>
  <c r="B186" i="90"/>
  <c r="B187" i="90"/>
  <c r="B188" i="90"/>
  <c r="B189" i="90"/>
  <c r="B190" i="90"/>
  <c r="B191" i="90"/>
  <c r="B192" i="90"/>
  <c r="B193" i="90"/>
  <c r="B194" i="90"/>
  <c r="B195" i="90"/>
  <c r="B196" i="90"/>
  <c r="B197" i="90"/>
  <c r="B198" i="90"/>
  <c r="B199" i="90"/>
  <c r="B200" i="90"/>
  <c r="B201" i="90"/>
  <c r="B202" i="90"/>
  <c r="B203" i="90"/>
  <c r="B204" i="90"/>
  <c r="B205" i="90"/>
  <c r="B206" i="90"/>
  <c r="B207" i="90"/>
  <c r="B208" i="90"/>
  <c r="B209" i="90"/>
  <c r="B210" i="90"/>
  <c r="B211" i="90"/>
  <c r="B212" i="90"/>
  <c r="B213" i="90"/>
  <c r="B20" i="90"/>
  <c r="B21" i="90"/>
  <c r="B22" i="90"/>
  <c r="B23" i="90"/>
  <c r="B24" i="90"/>
  <c r="B25" i="90"/>
  <c r="B26" i="90"/>
  <c r="B27" i="90"/>
  <c r="B3" i="90"/>
  <c r="B4" i="90"/>
  <c r="B5" i="90"/>
  <c r="B6" i="90"/>
  <c r="B7" i="90"/>
  <c r="B8" i="90"/>
  <c r="B9" i="90"/>
  <c r="B10" i="90"/>
  <c r="B11" i="90"/>
  <c r="B12" i="90"/>
  <c r="B13" i="90"/>
  <c r="B14" i="90"/>
  <c r="B15" i="90"/>
  <c r="B16" i="90"/>
  <c r="B17" i="90"/>
  <c r="B18" i="90"/>
  <c r="B19" i="90"/>
  <c r="B2" i="90"/>
  <c r="D2" i="8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- Thứ tự chữ cái A,B,C tương ứng với "Chặng - Giai đoạn"
- Thứ tự số : 1, 2, 3 .. tương ứng với sản phẩm dụng cụ.
- Thứ tự bán thành phẩm con của Dụng cụ đánh lần lượt theo chỉ mục của thứ tự Dụng cụ như: 1.1,1.2, 1.3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- Chọn theo danh mục "Dụng cụ"
- Thông tin bắt buộc phải nhập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- Tự động fill theo dữ liệu cột "Tên dụng cụ"</t>
        </r>
      </text>
    </comment>
    <comment ref="H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Chọn nhập theo dữ liệu danh mục ở sheet "DM_Donvi"</t>
        </r>
      </text>
    </comment>
    <comment ref="K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Luôn &lt;= Ngày kết thúc</t>
        </r>
      </text>
    </comment>
  </commentList>
</comments>
</file>

<file path=xl/sharedStrings.xml><?xml version="1.0" encoding="utf-8"?>
<sst xmlns="http://schemas.openxmlformats.org/spreadsheetml/2006/main" count="88" uniqueCount="81">
  <si>
    <t>Ký hiệu</t>
  </si>
  <si>
    <t>Đơn vị tính</t>
  </si>
  <si>
    <t>Cối dẫn</t>
  </si>
  <si>
    <t>Khuyên gạt</t>
  </si>
  <si>
    <t>Kìm bón phôi</t>
  </si>
  <si>
    <t>Cối 1</t>
  </si>
  <si>
    <t>Cối 2</t>
  </si>
  <si>
    <t>Cối 3</t>
  </si>
  <si>
    <t>VL.Đ30-V2-02</t>
  </si>
  <si>
    <t>VL.Đ30-V2-03AKF</t>
  </si>
  <si>
    <t>VL.Đ30-V2-04AKF</t>
  </si>
  <si>
    <t>VL.Đ30-V2-06</t>
  </si>
  <si>
    <t>Áo cối 1</t>
  </si>
  <si>
    <t>VL.Đ30-V2-08</t>
  </si>
  <si>
    <t>Bạc giữ chày con</t>
  </si>
  <si>
    <t>VL.Đ30-DBĐ-04A</t>
  </si>
  <si>
    <t>Lò xo</t>
  </si>
  <si>
    <t>Tấm cố định</t>
  </si>
  <si>
    <t>Cần kéo</t>
  </si>
  <si>
    <t>Miệng kìm trái</t>
  </si>
  <si>
    <t>Miệng kìm phải</t>
  </si>
  <si>
    <t>VL.Đ30-DTHĐ-04-1</t>
  </si>
  <si>
    <t>VL.Đ30-DTHĐ-04-2</t>
  </si>
  <si>
    <t>VL.Đ30-DTHĐ-04-3</t>
  </si>
  <si>
    <t>VL.Đ30-V2-05BKF</t>
  </si>
  <si>
    <t>Kìm bón phôi</t>
  </si>
  <si>
    <t>Ty kéo</t>
  </si>
  <si>
    <t>Đinh vít</t>
  </si>
  <si>
    <t>Đinh tán Ø6x14</t>
  </si>
  <si>
    <t>Miệng kìm</t>
  </si>
  <si>
    <t>Chày dập vuốt 2</t>
  </si>
  <si>
    <t>VL.Đ30-V2-01A</t>
  </si>
  <si>
    <t>VL.Đ30-V2-07A</t>
  </si>
  <si>
    <t>VL.Đ30-KDB-00.25</t>
  </si>
  <si>
    <t>VL.Đ30-DB-09</t>
  </si>
  <si>
    <t>VL.Đ30-DB-08-1</t>
  </si>
  <si>
    <t>VL.Đ30-DB-08-2</t>
  </si>
  <si>
    <t>Chốt tròn</t>
  </si>
  <si>
    <t xml:space="preserve">Đai ốc </t>
  </si>
  <si>
    <t>VL.Đ30-KDB-00.17</t>
  </si>
  <si>
    <t>VL.Đ30-V2-07</t>
  </si>
  <si>
    <t>Dụng cụ</t>
  </si>
  <si>
    <t>Mã</t>
  </si>
  <si>
    <t>QP.DBB.CNS01</t>
  </si>
  <si>
    <t>QP.DBB.CNS02</t>
  </si>
  <si>
    <t>QP.DBB.CNS03</t>
  </si>
  <si>
    <t>QP.DBB.CNS04</t>
  </si>
  <si>
    <t>QP.DBB.CNS05</t>
  </si>
  <si>
    <t>QP.DBB.CNS06</t>
  </si>
  <si>
    <t>QP.DBB.CNS07</t>
  </si>
  <si>
    <t>QP.DBB.CNS08</t>
  </si>
  <si>
    <t>QP.DBB.CNS09</t>
  </si>
  <si>
    <t>QP.DBB.CNS10</t>
  </si>
  <si>
    <t>QP.DBB.CNS11</t>
  </si>
  <si>
    <t>QP.DBB.CNS12</t>
  </si>
  <si>
    <t>QP.DBB.CNS13</t>
  </si>
  <si>
    <t>QP.DBB.CNS14</t>
  </si>
  <si>
    <t>QP.DBB.CNS15</t>
  </si>
  <si>
    <t>QP.DBB.CNS16</t>
  </si>
  <si>
    <t>QP.DBB.CNS17</t>
  </si>
  <si>
    <t>QP.DBB.CNS18</t>
  </si>
  <si>
    <t>Dụng cụ - Ký hiệu</t>
  </si>
  <si>
    <t>Ký Hiệu</t>
  </si>
  <si>
    <t>hh</t>
  </si>
  <si>
    <t>gggg</t>
  </si>
  <si>
    <t>uyuyuyu</t>
  </si>
  <si>
    <r>
      <t>TT</t>
    </r>
    <r>
      <rPr>
        <b/>
        <sz val="12"/>
        <color rgb="FFFF0000"/>
        <rFont val="Times New Roman"/>
        <family val="1"/>
      </rPr>
      <t>*</t>
    </r>
  </si>
  <si>
    <r>
      <t>Tên dụng cụ</t>
    </r>
    <r>
      <rPr>
        <b/>
        <sz val="12"/>
        <color rgb="FFFF0000"/>
        <rFont val="Times New Roman"/>
        <family val="1"/>
      </rPr>
      <t>*</t>
    </r>
  </si>
  <si>
    <r>
      <t>Mã dụng cụ</t>
    </r>
    <r>
      <rPr>
        <b/>
        <sz val="12"/>
        <color rgb="FFFF0000"/>
        <rFont val="Times New Roman"/>
        <family val="1"/>
      </rPr>
      <t>*</t>
    </r>
  </si>
  <si>
    <r>
      <t xml:space="preserve">Đơn vị thực hiện </t>
    </r>
    <r>
      <rPr>
        <b/>
        <sz val="13"/>
        <color rgb="FFFF0000"/>
        <rFont val="Times New Roman"/>
        <family val="1"/>
      </rPr>
      <t>*</t>
    </r>
  </si>
  <si>
    <r>
      <t xml:space="preserve">Mã đơn vị </t>
    </r>
    <r>
      <rPr>
        <b/>
        <sz val="13"/>
        <color rgb="FFFF0000"/>
        <rFont val="Times New Roman"/>
        <family val="1"/>
      </rPr>
      <t>*</t>
    </r>
  </si>
  <si>
    <r>
      <t xml:space="preserve">Ngày bắt đầu </t>
    </r>
    <r>
      <rPr>
        <b/>
        <sz val="11"/>
        <color rgb="FFFF0000"/>
        <rFont val="Times New Roman"/>
        <family val="1"/>
      </rPr>
      <t>*</t>
    </r>
  </si>
  <si>
    <r>
      <t>Ngày kết thúc</t>
    </r>
    <r>
      <rPr>
        <b/>
        <sz val="11"/>
        <color rgb="FFFF0000"/>
        <rFont val="Times New Roman"/>
        <family val="1"/>
      </rPr>
      <t xml:space="preserve"> *</t>
    </r>
  </si>
  <si>
    <t>An Liêm</t>
  </si>
  <si>
    <t>Em Hiến</t>
  </si>
  <si>
    <t>Số lượng kế hoạch</t>
  </si>
  <si>
    <t>Số lượng sản xuất</t>
  </si>
  <si>
    <t>Số lượng tồn kho</t>
  </si>
  <si>
    <t>Tên</t>
  </si>
  <si>
    <t>đyhhh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</si>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</sst>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6" formatCode="&quot;$&quot;#,##0_);[Red]\(&quot;$&quot;#,##0\)"/>
    <numFmt numFmtId="164" formatCode="_ * #,##0.00_ ;_ * \-#,##0.00_ ;_ * &quot;-&quot;??_ ;_ @_ "/>
    <numFmt numFmtId="165" formatCode="_-&quot;$&quot;* #,##0_-;\-&quot;$&quot;* #,##0_-;_-&quot;$&quot;* &quot;-&quot;_-;_-@_-"/>
    <numFmt numFmtId="166" formatCode="_-* #,##0_-;\-* #,##0_-;_-* &quot;-&quot;_-;_-@_-"/>
    <numFmt numFmtId="167" formatCode="_-* #,##0.00_-;\-* #,##0.00_-;_-* &quot;-&quot;??_-;_-@_-"/>
    <numFmt numFmtId="168" formatCode="_-&quot;$&quot;* #,##0.00_-;\-&quot;$&quot;* #,##0.00_-;_-&quot;$&quot;* &quot;-&quot;??_-;_-@_-"/>
    <numFmt numFmtId="169" formatCode="00.000"/>
    <numFmt numFmtId="170" formatCode="#,##0\ &quot;DM&quot;;\-#,##0\ &quot;DM&quot;"/>
    <numFmt numFmtId="171" formatCode="0.000%"/>
    <numFmt numFmtId="172" formatCode="&quot;￥&quot;#,##0;&quot;￥&quot;\-#,##0"/>
    <numFmt numFmtId="173" formatCode="\$#,##0\ ;\(\$#,##0\)"/>
    <numFmt numFmtId="174" formatCode="&quot;\&quot;#,##0;[Red]&quot;\&quot;&quot;\&quot;\-#,##0"/>
    <numFmt numFmtId="175" formatCode="&quot;\&quot;#,##0.00;[Red]&quot;\&quot;&quot;\&quot;&quot;\&quot;&quot;\&quot;&quot;\&quot;&quot;\&quot;\-#,##0.00"/>
    <numFmt numFmtId="176" formatCode="&quot;VND&quot;#,##0_);[Red]\(&quot;VND&quot;#,##0\)"/>
    <numFmt numFmtId="177" formatCode="#,##0\ &quot;F&quot;;[Red]\-#,##0\ &quot;F&quot;"/>
    <numFmt numFmtId="178" formatCode="#,##0.00\ &quot;F&quot;;\-#,##0.00\ &quot;F&quot;"/>
    <numFmt numFmtId="179" formatCode="#,##0.00\ &quot;F&quot;;[Red]\-#,##0.00\ &quot;F&quot;"/>
    <numFmt numFmtId="180" formatCode="_-* #,##0\ &quot;F&quot;_-;\-* #,##0\ &quot;F&quot;_-;_-* &quot;-&quot;\ &quot;F&quot;_-;_-@_-"/>
    <numFmt numFmtId="181" formatCode="00"/>
    <numFmt numFmtId="182" formatCode="dd/mm/yyyy"/>
  </numFmts>
  <fonts count="51">
    <font>
      <sz val="12"/>
      <name val=".VnTime"/>
    </font>
    <font>
      <sz val="12"/>
      <name val=".VnTime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??"/>
      <family val="3"/>
      <charset val="129"/>
    </font>
    <font>
      <sz val="12"/>
      <name val="????"/>
      <charset val="136"/>
    </font>
    <font>
      <sz val="12"/>
      <name val="???"/>
      <family val="3"/>
    </font>
    <font>
      <sz val="10"/>
      <name val="???"/>
      <family val="3"/>
      <charset val="129"/>
    </font>
    <font>
      <sz val="11"/>
      <name val="–¾’©"/>
      <family val="1"/>
      <charset val="128"/>
    </font>
    <font>
      <sz val="14"/>
      <name val="VnTime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2"/>
      <name val="¹UAAA¼"/>
      <family val="3"/>
      <charset val="129"/>
    </font>
    <font>
      <sz val="11"/>
      <name val="µ¸¿ò"/>
    </font>
    <font>
      <sz val="1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2"/>
      <name val=".VnTime"/>
      <family val="2"/>
    </font>
    <font>
      <sz val="12"/>
      <name val="Arial"/>
      <family val="2"/>
    </font>
    <font>
      <sz val="10"/>
      <name val="VNtimes new roman"/>
    </font>
    <font>
      <sz val="13"/>
      <name val=".VnTime"/>
      <family val="2"/>
    </font>
    <font>
      <sz val="13"/>
      <name val=".VnTime"/>
      <family val="2"/>
    </font>
    <font>
      <sz val="14"/>
      <name val="VnTime"/>
      <family val="2"/>
    </font>
    <font>
      <sz val="14"/>
      <name val=".Vn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9"/>
      <name val="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Courier"/>
      <family val="3"/>
    </font>
    <font>
      <sz val="10"/>
      <name val=" 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.VnTime"/>
      <family val="2"/>
    </font>
    <font>
      <sz val="12"/>
      <color indexed="8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b/>
      <sz val="13"/>
      <color rgb="FFFF0000"/>
      <name val="Times New Roman"/>
      <family val="1"/>
    </font>
    <font>
      <b/>
      <sz val="11"/>
      <color rgb="FFFF0000"/>
      <name val="Times New Roman"/>
      <family val="1"/>
    </font>
    <font>
      <sz val="8"/>
      <name val=".VnTime"/>
      <family val="2"/>
    </font>
    <font>
      <sz val="11"/>
      <color rgb="FF1A1C1E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7">
    <xf numFmtId="0" fontId="0" fillId="0" borderId="0"/>
    <xf numFmtId="0" fontId="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75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174" fontId="3" fillId="0" borderId="0" applyFont="0" applyFill="0" applyBorder="0" applyAlignment="0" applyProtection="0"/>
    <xf numFmtId="40" fontId="4" fillId="0" borderId="0" applyFont="0" applyFill="0" applyBorder="0" applyAlignment="0" applyProtection="0"/>
    <xf numFmtId="38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0" borderId="0"/>
    <xf numFmtId="0" fontId="3" fillId="0" borderId="0"/>
    <xf numFmtId="0" fontId="8" fillId="0" borderId="0"/>
    <xf numFmtId="1" fontId="9" fillId="0" borderId="1" applyBorder="0" applyAlignment="0">
      <alignment horizontal="center"/>
    </xf>
    <xf numFmtId="0" fontId="10" fillId="2" borderId="0"/>
    <xf numFmtId="0" fontId="11" fillId="2" borderId="0"/>
    <xf numFmtId="0" fontId="12" fillId="2" borderId="0"/>
    <xf numFmtId="0" fontId="13" fillId="0" borderId="0">
      <alignment wrapText="1"/>
    </xf>
    <xf numFmtId="0" fontId="14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0" fontId="15" fillId="0" borderId="0"/>
    <xf numFmtId="0" fontId="16" fillId="0" borderId="0"/>
    <xf numFmtId="164" fontId="1" fillId="0" borderId="0" applyFont="0" applyFill="0" applyBorder="0" applyAlignment="0" applyProtection="0"/>
    <xf numFmtId="164" fontId="21" fillId="0" borderId="0" applyFont="0" applyFill="0" applyBorder="0" applyAlignment="0" applyProtection="0"/>
    <xf numFmtId="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38" fontId="18" fillId="2" borderId="0" applyNumberFormat="0" applyBorder="0" applyAlignment="0" applyProtection="0"/>
    <xf numFmtId="0" fontId="2" fillId="0" borderId="2" applyNumberFormat="0" applyAlignment="0" applyProtection="0">
      <alignment horizontal="left" vertical="center"/>
    </xf>
    <xf numFmtId="0" fontId="2" fillId="0" borderId="3">
      <alignment horizontal="left" vertical="center"/>
    </xf>
    <xf numFmtId="0" fontId="19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9" fontId="20" fillId="0" borderId="1">
      <alignment vertical="center"/>
    </xf>
    <xf numFmtId="10" fontId="18" fillId="3" borderId="1" applyNumberFormat="0" applyBorder="0" applyAlignment="0" applyProtection="0"/>
    <xf numFmtId="0" fontId="21" fillId="0" borderId="0"/>
    <xf numFmtId="0" fontId="22" fillId="0" borderId="0" applyNumberFormat="0" applyFont="0" applyFill="0" applyAlignment="0"/>
    <xf numFmtId="176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0" fontId="1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79" fontId="24" fillId="0" borderId="4">
      <alignment horizontal="right" vertical="center"/>
    </xf>
    <xf numFmtId="0" fontId="3" fillId="0" borderId="5" applyNumberFormat="0" applyFont="0" applyFill="0" applyAlignment="0" applyProtection="0"/>
    <xf numFmtId="180" fontId="24" fillId="0" borderId="4">
      <alignment horizontal="center"/>
    </xf>
    <xf numFmtId="0" fontId="24" fillId="0" borderId="0" applyNumberFormat="0" applyFill="0" applyBorder="0" applyAlignment="0" applyProtection="0"/>
    <xf numFmtId="177" fontId="24" fillId="0" borderId="0"/>
    <xf numFmtId="178" fontId="24" fillId="0" borderId="1"/>
    <xf numFmtId="3" fontId="25" fillId="0" borderId="0" applyNumberFormat="0" applyBorder="0" applyAlignment="0" applyProtection="0">
      <alignment horizontal="centerContinuous"/>
      <protection locked="0"/>
    </xf>
    <xf numFmtId="3" fontId="24" fillId="0" borderId="0" applyNumberFormat="0" applyBorder="0" applyAlignment="0" applyProtection="0">
      <alignment horizontal="centerContinuous"/>
      <protection locked="0"/>
    </xf>
    <xf numFmtId="3" fontId="26" fillId="0" borderId="0">
      <protection locked="0"/>
    </xf>
    <xf numFmtId="0" fontId="27" fillId="0" borderId="0" applyNumberForma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>
      <alignment vertical="center"/>
    </xf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30" fillId="0" borderId="0"/>
    <xf numFmtId="170" fontId="32" fillId="0" borderId="0" applyFont="0" applyFill="0" applyBorder="0" applyAlignment="0" applyProtection="0"/>
    <xf numFmtId="171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0" fontId="33" fillId="0" borderId="0"/>
    <xf numFmtId="0" fontId="22" fillId="0" borderId="0"/>
    <xf numFmtId="166" fontId="31" fillId="0" borderId="0" applyFont="0" applyFill="0" applyBorder="0" applyAlignment="0" applyProtection="0"/>
    <xf numFmtId="167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6" fontId="34" fillId="0" borderId="0" applyFont="0" applyFill="0" applyBorder="0" applyAlignment="0" applyProtection="0"/>
    <xf numFmtId="168" fontId="3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12"/>
    <xf numFmtId="0" fontId="0" fillId="0" borderId="0" xfId="0" applyProtection="1">
      <protection locked="0" hidden="1"/>
    </xf>
    <xf numFmtId="0" fontId="37" fillId="0" borderId="0" xfId="0" applyFont="1"/>
    <xf numFmtId="0" fontId="37" fillId="0" borderId="0" xfId="0" applyFont="1" applyAlignment="1">
      <alignment horizontal="center"/>
    </xf>
    <xf numFmtId="49" fontId="39" fillId="0" borderId="0" xfId="0" applyNumberFormat="1" applyFont="1" applyAlignment="1">
      <alignment horizontal="center"/>
    </xf>
    <xf numFmtId="181" fontId="37" fillId="0" borderId="0" xfId="0" applyNumberFormat="1" applyFont="1" applyAlignment="1">
      <alignment horizontal="center"/>
    </xf>
    <xf numFmtId="49" fontId="36" fillId="0" borderId="6" xfId="0" applyNumberFormat="1" applyFont="1" applyBorder="1" applyAlignment="1">
      <alignment horizontal="center" vertical="center" wrapText="1"/>
    </xf>
    <xf numFmtId="0" fontId="36" fillId="0" borderId="6" xfId="0" applyFont="1" applyBorder="1" applyAlignment="1">
      <alignment vertical="center" wrapText="1"/>
    </xf>
    <xf numFmtId="0" fontId="36" fillId="0" borderId="6" xfId="0" applyFont="1" applyBorder="1" applyAlignment="1">
      <alignment horizontal="left" vertical="center" wrapText="1"/>
    </xf>
    <xf numFmtId="49" fontId="41" fillId="0" borderId="6" xfId="27" applyNumberFormat="1" applyFont="1" applyFill="1" applyBorder="1" applyAlignment="1">
      <alignment horizontal="center" vertical="center"/>
    </xf>
    <xf numFmtId="0" fontId="42" fillId="0" borderId="6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justify" vertical="center" wrapText="1"/>
    </xf>
    <xf numFmtId="0" fontId="36" fillId="0" borderId="6" xfId="0" applyFont="1" applyBorder="1" applyAlignment="1">
      <alignment horizontal="center" vertical="center" wrapText="1"/>
    </xf>
    <xf numFmtId="3" fontId="37" fillId="0" borderId="0" xfId="0" applyNumberFormat="1" applyFont="1"/>
    <xf numFmtId="0" fontId="36" fillId="0" borderId="0" xfId="0" applyFont="1" applyAlignment="1">
      <alignment vertical="center" wrapText="1"/>
    </xf>
    <xf numFmtId="0" fontId="36" fillId="0" borderId="0" xfId="0" applyFont="1" applyAlignment="1">
      <alignment horizontal="justify" vertical="center" wrapText="1"/>
    </xf>
    <xf numFmtId="0" fontId="36" fillId="0" borderId="9" xfId="0" applyFont="1" applyBorder="1" applyAlignment="1">
      <alignment horizontal="left" vertical="center" wrapText="1"/>
    </xf>
    <xf numFmtId="182" fontId="36" fillId="0" borderId="6" xfId="0" applyNumberFormat="1" applyFont="1" applyBorder="1" applyAlignment="1">
      <alignment horizontal="center" vertical="center" wrapText="1"/>
    </xf>
    <xf numFmtId="182" fontId="36" fillId="0" borderId="0" xfId="0" applyNumberFormat="1" applyFont="1" applyAlignment="1">
      <alignment horizontal="center"/>
    </xf>
    <xf numFmtId="182" fontId="37" fillId="0" borderId="0" xfId="0" applyNumberFormat="1" applyFont="1" applyAlignment="1">
      <alignment horizontal="center"/>
    </xf>
    <xf numFmtId="49" fontId="39" fillId="4" borderId="7" xfId="0" applyNumberFormat="1" applyFont="1" applyFill="1" applyBorder="1" applyAlignment="1">
      <alignment horizontal="center" vertical="center" wrapText="1"/>
    </xf>
    <xf numFmtId="0" fontId="38" fillId="4" borderId="8" xfId="0" applyFont="1" applyFill="1" applyBorder="1" applyAlignment="1">
      <alignment horizontal="center" vertical="center" wrapText="1"/>
    </xf>
    <xf numFmtId="49" fontId="39" fillId="4" borderId="8" xfId="0" applyNumberFormat="1" applyFont="1" applyFill="1" applyBorder="1" applyAlignment="1">
      <alignment horizontal="center" vertical="center" wrapText="1"/>
    </xf>
    <xf numFmtId="49" fontId="38" fillId="4" borderId="10" xfId="0" applyNumberFormat="1" applyFont="1" applyFill="1" applyBorder="1" applyAlignment="1">
      <alignment horizontal="center" vertical="center" wrapText="1"/>
    </xf>
    <xf numFmtId="0" fontId="38" fillId="4" borderId="9" xfId="0" applyFont="1" applyFill="1" applyBorder="1" applyAlignment="1">
      <alignment horizontal="center" vertical="center" wrapText="1"/>
    </xf>
    <xf numFmtId="182" fontId="43" fillId="4" borderId="8" xfId="0" applyNumberFormat="1" applyFont="1" applyFill="1" applyBorder="1" applyAlignment="1">
      <alignment horizontal="center" vertical="center" wrapText="1"/>
    </xf>
    <xf numFmtId="0" fontId="42" fillId="0" borderId="9" xfId="0" applyFont="1" applyBorder="1" applyAlignment="1">
      <alignment horizontal="center" vertical="center" wrapText="1"/>
    </xf>
    <xf numFmtId="0" fontId="38" fillId="4" borderId="10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/>
    </xf>
    <xf numFmtId="0" fontId="36" fillId="0" borderId="0" xfId="0" applyFont="1"/>
    <xf numFmtId="0" fontId="39" fillId="0" borderId="0" xfId="0" applyFont="1"/>
    <xf numFmtId="0" fontId="50" fillId="0" borderId="0" xfId="0" applyFont="1"/>
  </cellXfs>
  <cellStyles count="97">
    <cellStyle name="          _x000d__x000a_shell=progman.exe_x000d__x000a_m" xfId="1" xr:uid="{00000000-0005-0000-0000-000000000000}"/>
    <cellStyle name="          _x000d__x000a_shell=progman.exe_x000d__x000a_m 2" xfId="2" xr:uid="{00000000-0005-0000-0000-000001000000}"/>
    <cellStyle name="          _x000d__x000a_shell=progman.exe_x000d__x000a_m 3" xfId="3" xr:uid="{00000000-0005-0000-0000-000002000000}"/>
    <cellStyle name="??" xfId="4" xr:uid="{00000000-0005-0000-0000-000003000000}"/>
    <cellStyle name="?? [0.00]_PRODUCT DETAIL Q1" xfId="5" xr:uid="{00000000-0005-0000-0000-000004000000}"/>
    <cellStyle name="?? [0]" xfId="6" xr:uid="{00000000-0005-0000-0000-000005000000}"/>
    <cellStyle name="???? [0.00]_PRODUCT DETAIL Q1" xfId="7" xr:uid="{00000000-0005-0000-0000-000006000000}"/>
    <cellStyle name="????_PRODUCT DETAIL Q1" xfId="8" xr:uid="{00000000-0005-0000-0000-000007000000}"/>
    <cellStyle name="???[0]_Book1" xfId="9" xr:uid="{00000000-0005-0000-0000-000008000000}"/>
    <cellStyle name="???_95" xfId="10" xr:uid="{00000000-0005-0000-0000-000009000000}"/>
    <cellStyle name="??_(????)??????" xfId="11" xr:uid="{00000000-0005-0000-0000-00000A000000}"/>
    <cellStyle name="??_kc-elec system check list" xfId="12" xr:uid="{00000000-0005-0000-0000-00000B000000}"/>
    <cellStyle name="•W_’·Šú‰p•¶" xfId="13" xr:uid="{00000000-0005-0000-0000-00000C000000}"/>
    <cellStyle name="0" xfId="14" xr:uid="{00000000-0005-0000-0000-00000D000000}"/>
    <cellStyle name="1" xfId="15" xr:uid="{00000000-0005-0000-0000-00000E000000}"/>
    <cellStyle name="2" xfId="16" xr:uid="{00000000-0005-0000-0000-00000F000000}"/>
    <cellStyle name="3" xfId="17" xr:uid="{00000000-0005-0000-0000-000010000000}"/>
    <cellStyle name="4" xfId="18" xr:uid="{00000000-0005-0000-0000-000011000000}"/>
    <cellStyle name="6" xfId="19" xr:uid="{00000000-0005-0000-0000-000012000000}"/>
    <cellStyle name="AeE­ [0]_INQUIRY ¿µ¾÷AßAø " xfId="20" xr:uid="{00000000-0005-0000-0000-000013000000}"/>
    <cellStyle name="AeE­_INQUIRY ¿?¾÷AßAø " xfId="21" xr:uid="{00000000-0005-0000-0000-000014000000}"/>
    <cellStyle name="AÞ¸¶ [0]_INQUIRY ¿?¾÷AßAø " xfId="22" xr:uid="{00000000-0005-0000-0000-000015000000}"/>
    <cellStyle name="AÞ¸¶_INQUIRY ¿?¾÷AßAø " xfId="23" xr:uid="{00000000-0005-0000-0000-000016000000}"/>
    <cellStyle name="Bình thường" xfId="0" builtinId="0"/>
    <cellStyle name="C?AØ_¿?¾÷CoE² " xfId="24" xr:uid="{00000000-0005-0000-0000-000017000000}"/>
    <cellStyle name="C￥AØ_¿μ¾÷CoE² " xfId="25" xr:uid="{00000000-0005-0000-0000-000018000000}"/>
    <cellStyle name="Ç¥ÁØ_MARSHALL TEST" xfId="26" xr:uid="{00000000-0005-0000-0000-000019000000}"/>
    <cellStyle name="Comma 2" xfId="28" xr:uid="{00000000-0005-0000-0000-00001B000000}"/>
    <cellStyle name="Comma0" xfId="29" xr:uid="{00000000-0005-0000-0000-00001C000000}"/>
    <cellStyle name="Currency0" xfId="30" xr:uid="{00000000-0005-0000-0000-00001D000000}"/>
    <cellStyle name="Date" xfId="31" xr:uid="{00000000-0005-0000-0000-00001E000000}"/>
    <cellStyle name="Đầu đề 1" xfId="36" builtinId="16" customBuiltin="1"/>
    <cellStyle name="Đầu đề 2" xfId="37" builtinId="17" customBuiltin="1"/>
    <cellStyle name="Dấu phẩy" xfId="27" builtinId="3"/>
    <cellStyle name="Fixed" xfId="32" xr:uid="{00000000-0005-0000-0000-00001F000000}"/>
    <cellStyle name="Grey" xfId="33" xr:uid="{00000000-0005-0000-0000-000020000000}"/>
    <cellStyle name="Header1" xfId="34" xr:uid="{00000000-0005-0000-0000-000021000000}"/>
    <cellStyle name="Header2" xfId="35" xr:uid="{00000000-0005-0000-0000-000022000000}"/>
    <cellStyle name="Hoa-Scholl" xfId="38" xr:uid="{00000000-0005-0000-0000-000025000000}"/>
    <cellStyle name="Input [yellow]" xfId="39" xr:uid="{00000000-0005-0000-0000-000026000000}"/>
    <cellStyle name="khanh" xfId="40" xr:uid="{00000000-0005-0000-0000-000027000000}"/>
    <cellStyle name="n" xfId="41" xr:uid="{00000000-0005-0000-0000-000028000000}"/>
    <cellStyle name="Normal - Style1" xfId="42" xr:uid="{00000000-0005-0000-0000-00002A000000}"/>
    <cellStyle name="Normal 10" xfId="43" xr:uid="{00000000-0005-0000-0000-00002B000000}"/>
    <cellStyle name="Normal 11" xfId="44" xr:uid="{00000000-0005-0000-0000-00002C000000}"/>
    <cellStyle name="Normal 12" xfId="45" xr:uid="{00000000-0005-0000-0000-00002D000000}"/>
    <cellStyle name="Normal 13" xfId="46" xr:uid="{00000000-0005-0000-0000-00002E000000}"/>
    <cellStyle name="Normal 14" xfId="47" xr:uid="{00000000-0005-0000-0000-00002F000000}"/>
    <cellStyle name="Normal 15" xfId="48" xr:uid="{00000000-0005-0000-0000-000030000000}"/>
    <cellStyle name="Normal 16" xfId="49" xr:uid="{00000000-0005-0000-0000-000031000000}"/>
    <cellStyle name="Normal 2" xfId="50" xr:uid="{00000000-0005-0000-0000-000032000000}"/>
    <cellStyle name="Normal 3" xfId="51" xr:uid="{00000000-0005-0000-0000-000033000000}"/>
    <cellStyle name="Normal 4" xfId="52" xr:uid="{00000000-0005-0000-0000-000034000000}"/>
    <cellStyle name="Normal 5" xfId="53" xr:uid="{00000000-0005-0000-0000-000035000000}"/>
    <cellStyle name="Normal 6" xfId="54" xr:uid="{00000000-0005-0000-0000-000036000000}"/>
    <cellStyle name="Normal 7" xfId="55" xr:uid="{00000000-0005-0000-0000-000037000000}"/>
    <cellStyle name="Normal 8" xfId="56" xr:uid="{00000000-0005-0000-0000-000038000000}"/>
    <cellStyle name="Normal 9" xfId="57" xr:uid="{00000000-0005-0000-0000-000039000000}"/>
    <cellStyle name="oft Excel]_x000d__x000a_Comment=The open=/f lines load custom functions into the Paste Function list._x000d__x000a_Maximized=2_x000d__x000a_Basics=1_x000d__x000a_A" xfId="58" xr:uid="{00000000-0005-0000-0000-00003A000000}"/>
    <cellStyle name="oft Excel]_x000d__x000a_Comment=The open=/f lines load custom functions into the Paste Function list._x000d__x000a_Maximized=3_x000d__x000a_Basics=1_x000d__x000a_A" xfId="59" xr:uid="{00000000-0005-0000-0000-00003B000000}"/>
    <cellStyle name="oft Excel]_x000d__x000a_Comment=The open=/f lines load custom functions into the Paste Function list._x000d__x000a_Maximized=3_x000d__x000a_Basics=1_x000d__x000a_A 2" xfId="60" xr:uid="{00000000-0005-0000-0000-00003C000000}"/>
    <cellStyle name="oft Excel]_x000d__x000a_Comment=The open=/f lines load custom functions into the Paste Function list._x000d__x000a_Maximized=3_x000d__x000a_Basics=1_x000d__x000a_A 3" xfId="61" xr:uid="{00000000-0005-0000-0000-00003D000000}"/>
    <cellStyle name="Percent [2]" xfId="62" xr:uid="{00000000-0005-0000-0000-00003E000000}"/>
    <cellStyle name="Percent [2] 2" xfId="63" xr:uid="{00000000-0005-0000-0000-00003F000000}"/>
    <cellStyle name="s]_x000d__x000a_spooler=yes_x000d__x000a_load=_x000d__x000a_Beep=yes_x000d__x000a_NullPort=None_x000d__x000a_BorderWidth=3_x000d__x000a_CursorBlinkRate=1200_x000d__x000a_DoubleClickSpeed=452_x000d__x000a_Programs=co" xfId="64" xr:uid="{00000000-0005-0000-0000-000040000000}"/>
    <cellStyle name="s]_x000d__x000a_spooler=yes_x000d__x000a_load=_x000d__x000a_Beep=yes_x000d__x000a_NullPort=None_x000d__x000a_BorderWidth=3_x000d__x000a_CursorBlinkRate=1200_x000d__x000a_DoubleClickSpeed=452_x000d__x000a_Programs=co 2" xfId="65" xr:uid="{00000000-0005-0000-0000-000041000000}"/>
    <cellStyle name="s]_x000d__x000a_spooler=yes_x000d__x000a_load=_x000d__x000a_Beep=yes_x000d__x000a_NullPort=None_x000d__x000a_BorderWidth=3_x000d__x000a_CursorBlinkRate=1200_x000d__x000a_DoubleClickSpeed=452_x000d__x000a_Programs=co 3" xfId="66" xr:uid="{00000000-0005-0000-0000-000042000000}"/>
    <cellStyle name="T" xfId="67" xr:uid="{00000000-0005-0000-0000-000043000000}"/>
    <cellStyle name="th" xfId="69" xr:uid="{00000000-0005-0000-0000-000044000000}"/>
    <cellStyle name="þ_x001d_ð·_x000c_æþ'_x000d_ßþU_x0001_Ø_x0005_ü_x0014__x0007__x0001__x0001_" xfId="70" xr:uid="{00000000-0005-0000-0000-000045000000}"/>
    <cellStyle name="Tổng" xfId="68" builtinId="25" customBuiltin="1"/>
    <cellStyle name="viet" xfId="71" xr:uid="{00000000-0005-0000-0000-000047000000}"/>
    <cellStyle name="viet2" xfId="72" xr:uid="{00000000-0005-0000-0000-000048000000}"/>
    <cellStyle name="Vn Time 13" xfId="73" xr:uid="{00000000-0005-0000-0000-000049000000}"/>
    <cellStyle name="Vn Time 13 2" xfId="74" xr:uid="{00000000-0005-0000-0000-00004A000000}"/>
    <cellStyle name="Vn Time 14" xfId="75" xr:uid="{00000000-0005-0000-0000-00004B000000}"/>
    <cellStyle name="xuan" xfId="76" xr:uid="{00000000-0005-0000-0000-00004C000000}"/>
    <cellStyle name=" [0.00]_ Att. 1- Cover" xfId="77" xr:uid="{00000000-0005-0000-0000-00004D000000}"/>
    <cellStyle name="_ Att. 1- Cover" xfId="78" xr:uid="{00000000-0005-0000-0000-00004E000000}"/>
    <cellStyle name="?_ Att. 1- Cover" xfId="79" xr:uid="{00000000-0005-0000-0000-00004F000000}"/>
    <cellStyle name="똿뗦먛귟 [0.00]_PRODUCT DETAIL Q1" xfId="80" xr:uid="{00000000-0005-0000-0000-000050000000}"/>
    <cellStyle name="똿뗦먛귟_PRODUCT DETAIL Q1" xfId="81" xr:uid="{00000000-0005-0000-0000-000051000000}"/>
    <cellStyle name="믅됞 [0.00]_PRODUCT DETAIL Q1" xfId="82" xr:uid="{00000000-0005-0000-0000-000052000000}"/>
    <cellStyle name="믅됞_PRODUCT DETAIL Q1" xfId="83" xr:uid="{00000000-0005-0000-0000-000053000000}"/>
    <cellStyle name="백분율_95" xfId="84" xr:uid="{00000000-0005-0000-0000-000054000000}"/>
    <cellStyle name="뷭?_BOOKSHIP" xfId="85" xr:uid="{00000000-0005-0000-0000-000055000000}"/>
    <cellStyle name="콤마 [0]_1202" xfId="86" xr:uid="{00000000-0005-0000-0000-000056000000}"/>
    <cellStyle name="콤마_1202" xfId="87" xr:uid="{00000000-0005-0000-0000-000057000000}"/>
    <cellStyle name="통화 [0]_1202" xfId="88" xr:uid="{00000000-0005-0000-0000-000058000000}"/>
    <cellStyle name="통화_1202" xfId="89" xr:uid="{00000000-0005-0000-0000-000059000000}"/>
    <cellStyle name="표준_(정보부문)월별인원계획" xfId="90" xr:uid="{00000000-0005-0000-0000-00005A000000}"/>
    <cellStyle name="一般_00Q3902REV.1" xfId="91" xr:uid="{00000000-0005-0000-0000-00005B000000}"/>
    <cellStyle name="千分位[0]_00Q3902REV.1" xfId="92" xr:uid="{00000000-0005-0000-0000-00005C000000}"/>
    <cellStyle name="千分位_00Q3902REV.1" xfId="93" xr:uid="{00000000-0005-0000-0000-00005D000000}"/>
    <cellStyle name="貨幣 [0]_00Q3902REV.1" xfId="94" xr:uid="{00000000-0005-0000-0000-00005E000000}"/>
    <cellStyle name="貨幣[0]_BRE" xfId="95" xr:uid="{00000000-0005-0000-0000-00005F000000}"/>
    <cellStyle name="貨幣_00Q3902REV.1" xfId="96" xr:uid="{00000000-0005-0000-0000-00006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2.xml"/><Relationship Id="rId21" Type="http://schemas.openxmlformats.org/officeDocument/2006/relationships/externalLink" Target="externalLinks/externalLink17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63" Type="http://schemas.openxmlformats.org/officeDocument/2006/relationships/externalLink" Target="externalLinks/externalLink59.xml"/><Relationship Id="rId68" Type="http://schemas.openxmlformats.org/officeDocument/2006/relationships/externalLink" Target="externalLinks/externalLink64.xml"/><Relationship Id="rId16" Type="http://schemas.openxmlformats.org/officeDocument/2006/relationships/externalLink" Target="externalLinks/externalLink1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externalLink" Target="externalLinks/externalLink49.xml"/><Relationship Id="rId58" Type="http://schemas.openxmlformats.org/officeDocument/2006/relationships/externalLink" Target="externalLinks/externalLink54.xml"/><Relationship Id="rId66" Type="http://schemas.openxmlformats.org/officeDocument/2006/relationships/externalLink" Target="externalLinks/externalLink62.xml"/><Relationship Id="rId74" Type="http://schemas.openxmlformats.org/officeDocument/2006/relationships/externalLink" Target="externalLinks/externalLink70.xml"/><Relationship Id="rId5" Type="http://schemas.openxmlformats.org/officeDocument/2006/relationships/externalLink" Target="externalLinks/externalLink1.xml"/><Relationship Id="rId61" Type="http://schemas.openxmlformats.org/officeDocument/2006/relationships/externalLink" Target="externalLinks/externalLink57.xml"/><Relationship Id="rId19" Type="http://schemas.openxmlformats.org/officeDocument/2006/relationships/externalLink" Target="externalLinks/externalLink1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externalLink" Target="externalLinks/externalLink52.xml"/><Relationship Id="rId64" Type="http://schemas.openxmlformats.org/officeDocument/2006/relationships/externalLink" Target="externalLinks/externalLink60.xml"/><Relationship Id="rId69" Type="http://schemas.openxmlformats.org/officeDocument/2006/relationships/externalLink" Target="externalLinks/externalLink65.xml"/><Relationship Id="rId77" Type="http://schemas.openxmlformats.org/officeDocument/2006/relationships/sharedStrings" Target="sharedStrings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72" Type="http://schemas.openxmlformats.org/officeDocument/2006/relationships/externalLink" Target="externalLinks/externalLink6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externalLink" Target="externalLinks/externalLink55.xml"/><Relationship Id="rId67" Type="http://schemas.openxmlformats.org/officeDocument/2006/relationships/externalLink" Target="externalLinks/externalLink6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externalLink" Target="externalLinks/externalLink50.xml"/><Relationship Id="rId62" Type="http://schemas.openxmlformats.org/officeDocument/2006/relationships/externalLink" Target="externalLinks/externalLink58.xml"/><Relationship Id="rId70" Type="http://schemas.openxmlformats.org/officeDocument/2006/relationships/externalLink" Target="externalLinks/externalLink66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externalLink" Target="externalLinks/externalLink53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Relationship Id="rId60" Type="http://schemas.openxmlformats.org/officeDocument/2006/relationships/externalLink" Target="externalLinks/externalLink56.xml"/><Relationship Id="rId65" Type="http://schemas.openxmlformats.org/officeDocument/2006/relationships/externalLink" Target="externalLinks/externalLink61.xml"/><Relationship Id="rId73" Type="http://schemas.openxmlformats.org/officeDocument/2006/relationships/externalLink" Target="externalLinks/externalLink69.xml"/><Relationship Id="rId7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35.xml"/><Relationship Id="rId34" Type="http://schemas.openxmlformats.org/officeDocument/2006/relationships/externalLink" Target="externalLinks/externalLink30.xml"/><Relationship Id="rId50" Type="http://schemas.openxmlformats.org/officeDocument/2006/relationships/externalLink" Target="externalLinks/externalLink46.xml"/><Relationship Id="rId55" Type="http://schemas.openxmlformats.org/officeDocument/2006/relationships/externalLink" Target="externalLinks/externalLink51.xml"/><Relationship Id="rId76" Type="http://schemas.openxmlformats.org/officeDocument/2006/relationships/styles" Target="styles.xml"/><Relationship Id="rId7" Type="http://schemas.openxmlformats.org/officeDocument/2006/relationships/externalLink" Target="externalLinks/externalLink3.xml"/><Relationship Id="rId71" Type="http://schemas.openxmlformats.org/officeDocument/2006/relationships/externalLink" Target="externalLinks/externalLink6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6229350" y="860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229350" y="860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6743700" y="860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6229350" y="2413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229350" y="2413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6743700" y="2413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6229350" y="2127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229350" y="2127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6743700" y="2127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11</xdr:col>
      <xdr:colOff>457200</xdr:colOff>
      <xdr:row>0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/>
      </xdr:nvSpPr>
      <xdr:spPr>
        <a:xfrm>
          <a:off x="6229350" y="860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6229350" y="8601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6229350" y="2413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/>
      </xdr:nvSpPr>
      <xdr:spPr>
        <a:xfrm>
          <a:off x="6229350" y="2413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6743700" y="2413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6229350" y="2127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6229350" y="2127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/>
      </xdr:nvSpPr>
      <xdr:spPr>
        <a:xfrm>
          <a:off x="6743700" y="21278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/>
      </xdr:nvSpPr>
      <xdr:spPr>
        <a:xfrm>
          <a:off x="0" y="49110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457200</xdr:colOff>
      <xdr:row>2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/>
      </xdr:nvSpPr>
      <xdr:spPr>
        <a:xfrm>
          <a:off x="56197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2" name="TextBox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3" name="TextBox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622935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10</xdr:col>
      <xdr:colOff>457200</xdr:colOff>
      <xdr:row>2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6743700" y="29222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20" name="TextBox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21" name="TextBox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22" name="TextBox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23" name="TextBox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25" name="TextBox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29" name="TextBox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3" name="TextBox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5" name="TextBox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6" name="TextBox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7" name="TextBox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0" name="TextBox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1" name="TextBox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2" name="TextBox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3" name="TextBox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4" name="TextBox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5" name="TextBox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6" name="TextBox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7" name="TextBox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8" name="TextBox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49" name="TextBox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/>
      </xdr:nvSpPr>
      <xdr:spPr>
        <a:xfrm>
          <a:off x="119443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4" name="TextBox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7" name="TextBox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8" name="TextBox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1" name="TextBox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3" name="TextBox 272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4" name="TextBox 273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5" name="TextBox 274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6" name="TextBox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7" name="TextBox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8" name="TextBox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79" name="TextBox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0</xdr:row>
      <xdr:rowOff>0</xdr:rowOff>
    </xdr:from>
    <xdr:ext cx="184731" cy="264560"/>
    <xdr:sp macro="" textlink="">
      <xdr:nvSpPr>
        <xdr:cNvPr id="280" name="TextBox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/>
      </xdr:nvSpPr>
      <xdr:spPr>
        <a:xfrm>
          <a:off x="120967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1" name="TextBox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2" name="TextBox 28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6" name="TextBox 285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7" name="TextBox 286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8" name="TextBox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93" name="TextBox 292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94" name="TextBox 293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95" name="TextBox 294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457200</xdr:colOff>
      <xdr:row>0</xdr:row>
      <xdr:rowOff>0</xdr:rowOff>
    </xdr:from>
    <xdr:ext cx="184731" cy="264560"/>
    <xdr:sp macro="" textlink="">
      <xdr:nvSpPr>
        <xdr:cNvPr id="296" name="TextBox 295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/>
      </xdr:nvSpPr>
      <xdr:spPr>
        <a:xfrm>
          <a:off x="125539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297" name="TextBox 296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298" name="TextBox 297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299" name="TextBox 298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0" name="TextBox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1" name="TextBox 300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5" name="TextBox 304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09" name="TextBox 308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0" name="TextBox 309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1" name="TextBox 310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4" name="TextBox 313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8" name="TextBox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19" name="TextBox 318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0" name="TextBox 319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5" name="TextBox 324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6" name="TextBox 325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0</xdr:colOff>
      <xdr:row>0</xdr:row>
      <xdr:rowOff>0</xdr:rowOff>
    </xdr:from>
    <xdr:ext cx="184731" cy="264560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/>
      </xdr:nvSpPr>
      <xdr:spPr>
        <a:xfrm>
          <a:off x="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39" name="TextBox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3" name="TextBox 342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7" name="TextBox 346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8" name="TextBox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49" name="TextBox 348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2</xdr:col>
      <xdr:colOff>0</xdr:colOff>
      <xdr:row>0</xdr:row>
      <xdr:rowOff>0</xdr:rowOff>
    </xdr:from>
    <xdr:ext cx="184731" cy="264560"/>
    <xdr:sp macro="" textlink="">
      <xdr:nvSpPr>
        <xdr:cNvPr id="358" name="TextBox 357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/>
      </xdr:nvSpPr>
      <xdr:spPr>
        <a:xfrm>
          <a:off x="360045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" name="TextBox 111">
          <a:extLst>
            <a:ext uri="{FF2B5EF4-FFF2-40B4-BE49-F238E27FC236}">
              <a16:creationId xmlns:a16="http://schemas.microsoft.com/office/drawing/2014/main" id="{00E1DC1D-798D-4D65-A531-BC47C603852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" name="TextBox 112">
          <a:extLst>
            <a:ext uri="{FF2B5EF4-FFF2-40B4-BE49-F238E27FC236}">
              <a16:creationId xmlns:a16="http://schemas.microsoft.com/office/drawing/2014/main" id="{7F16A3F1-44AA-4D17-9F57-B70EFE1C2C6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114" name="TextBox 111">
          <a:extLst>
            <a:ext uri="{FF2B5EF4-FFF2-40B4-BE49-F238E27FC236}">
              <a16:creationId xmlns:a16="http://schemas.microsoft.com/office/drawing/2014/main" id="{2FD6DC10-A9F7-4477-A4EB-983DF4CA175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59" name="TextBox 112">
          <a:extLst>
            <a:ext uri="{FF2B5EF4-FFF2-40B4-BE49-F238E27FC236}">
              <a16:creationId xmlns:a16="http://schemas.microsoft.com/office/drawing/2014/main" id="{1E53A284-7CCB-4AAF-9A3E-D25BAEE75D7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0" name="TextBox 111">
          <a:extLst>
            <a:ext uri="{FF2B5EF4-FFF2-40B4-BE49-F238E27FC236}">
              <a16:creationId xmlns:a16="http://schemas.microsoft.com/office/drawing/2014/main" id="{D2286BD5-71D1-466F-B64C-7398D580912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1" name="TextBox 112">
          <a:extLst>
            <a:ext uri="{FF2B5EF4-FFF2-40B4-BE49-F238E27FC236}">
              <a16:creationId xmlns:a16="http://schemas.microsoft.com/office/drawing/2014/main" id="{6FDE9475-59EF-4702-847C-D1894974CAC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2" name="TextBox 111">
          <a:extLst>
            <a:ext uri="{FF2B5EF4-FFF2-40B4-BE49-F238E27FC236}">
              <a16:creationId xmlns:a16="http://schemas.microsoft.com/office/drawing/2014/main" id="{33077339-A55D-4F5F-9CF4-AB047448B6F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3" name="TextBox 112">
          <a:extLst>
            <a:ext uri="{FF2B5EF4-FFF2-40B4-BE49-F238E27FC236}">
              <a16:creationId xmlns:a16="http://schemas.microsoft.com/office/drawing/2014/main" id="{3F02E75C-D542-4E29-A454-9CDDF939FFE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4" name="TextBox 111">
          <a:extLst>
            <a:ext uri="{FF2B5EF4-FFF2-40B4-BE49-F238E27FC236}">
              <a16:creationId xmlns:a16="http://schemas.microsoft.com/office/drawing/2014/main" id="{B3F96D5A-EA2B-4BE7-8F34-DFFAE634E17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5" name="TextBox 112">
          <a:extLst>
            <a:ext uri="{FF2B5EF4-FFF2-40B4-BE49-F238E27FC236}">
              <a16:creationId xmlns:a16="http://schemas.microsoft.com/office/drawing/2014/main" id="{63ECA1F7-6268-4C4C-A904-4709D268E11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6" name="TextBox 111">
          <a:extLst>
            <a:ext uri="{FF2B5EF4-FFF2-40B4-BE49-F238E27FC236}">
              <a16:creationId xmlns:a16="http://schemas.microsoft.com/office/drawing/2014/main" id="{7C98B5FD-33D4-441D-BD0C-30739A9BDD1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7" name="TextBox 112">
          <a:extLst>
            <a:ext uri="{FF2B5EF4-FFF2-40B4-BE49-F238E27FC236}">
              <a16:creationId xmlns:a16="http://schemas.microsoft.com/office/drawing/2014/main" id="{C80B28CB-5BD0-4241-8274-86BC156AD1B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8" name="TextBox 111">
          <a:extLst>
            <a:ext uri="{FF2B5EF4-FFF2-40B4-BE49-F238E27FC236}">
              <a16:creationId xmlns:a16="http://schemas.microsoft.com/office/drawing/2014/main" id="{2AE5D81D-7B23-4F06-8CDD-7EC4871B8BD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69" name="TextBox 112">
          <a:extLst>
            <a:ext uri="{FF2B5EF4-FFF2-40B4-BE49-F238E27FC236}">
              <a16:creationId xmlns:a16="http://schemas.microsoft.com/office/drawing/2014/main" id="{50E01BD4-57C7-498E-9CF6-29626788354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0" name="TextBox 111">
          <a:extLst>
            <a:ext uri="{FF2B5EF4-FFF2-40B4-BE49-F238E27FC236}">
              <a16:creationId xmlns:a16="http://schemas.microsoft.com/office/drawing/2014/main" id="{442D1244-C1F5-4B55-88AB-5C285D526F1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1" name="TextBox 112">
          <a:extLst>
            <a:ext uri="{FF2B5EF4-FFF2-40B4-BE49-F238E27FC236}">
              <a16:creationId xmlns:a16="http://schemas.microsoft.com/office/drawing/2014/main" id="{2D8D0D4E-97B1-4D71-AE8F-75BF75C5C3D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2" name="TextBox 111">
          <a:extLst>
            <a:ext uri="{FF2B5EF4-FFF2-40B4-BE49-F238E27FC236}">
              <a16:creationId xmlns:a16="http://schemas.microsoft.com/office/drawing/2014/main" id="{00E02BCD-59B4-4BF8-BA9E-39899CCB1F4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3" name="TextBox 112">
          <a:extLst>
            <a:ext uri="{FF2B5EF4-FFF2-40B4-BE49-F238E27FC236}">
              <a16:creationId xmlns:a16="http://schemas.microsoft.com/office/drawing/2014/main" id="{DD76EEB8-DDF4-425E-BBA5-E0704C52FB8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4" name="TextBox 111">
          <a:extLst>
            <a:ext uri="{FF2B5EF4-FFF2-40B4-BE49-F238E27FC236}">
              <a16:creationId xmlns:a16="http://schemas.microsoft.com/office/drawing/2014/main" id="{A2730E53-F8E6-4946-BA36-A572189223C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5" name="TextBox 112">
          <a:extLst>
            <a:ext uri="{FF2B5EF4-FFF2-40B4-BE49-F238E27FC236}">
              <a16:creationId xmlns:a16="http://schemas.microsoft.com/office/drawing/2014/main" id="{2247AC6F-9F56-4DFB-9D31-CD50F2A2732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6" name="TextBox 111">
          <a:extLst>
            <a:ext uri="{FF2B5EF4-FFF2-40B4-BE49-F238E27FC236}">
              <a16:creationId xmlns:a16="http://schemas.microsoft.com/office/drawing/2014/main" id="{66258486-D14B-449E-BBF3-3256B3181C2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7" name="TextBox 112">
          <a:extLst>
            <a:ext uri="{FF2B5EF4-FFF2-40B4-BE49-F238E27FC236}">
              <a16:creationId xmlns:a16="http://schemas.microsoft.com/office/drawing/2014/main" id="{BAA0084B-8E0D-4214-9E38-1E1F0D8B0C3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8" name="TextBox 111">
          <a:extLst>
            <a:ext uri="{FF2B5EF4-FFF2-40B4-BE49-F238E27FC236}">
              <a16:creationId xmlns:a16="http://schemas.microsoft.com/office/drawing/2014/main" id="{93F17650-2CA8-4AC1-A77C-DC2D2388A15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79" name="TextBox 112">
          <a:extLst>
            <a:ext uri="{FF2B5EF4-FFF2-40B4-BE49-F238E27FC236}">
              <a16:creationId xmlns:a16="http://schemas.microsoft.com/office/drawing/2014/main" id="{1B6BC0D6-6385-4D1B-9613-379DADE01C8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0" name="TextBox 111">
          <a:extLst>
            <a:ext uri="{FF2B5EF4-FFF2-40B4-BE49-F238E27FC236}">
              <a16:creationId xmlns:a16="http://schemas.microsoft.com/office/drawing/2014/main" id="{0B9487C7-62D1-4B9C-8C7D-0F5F9667466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1" name="TextBox 112">
          <a:extLst>
            <a:ext uri="{FF2B5EF4-FFF2-40B4-BE49-F238E27FC236}">
              <a16:creationId xmlns:a16="http://schemas.microsoft.com/office/drawing/2014/main" id="{24313825-62CA-463E-9C4E-97BD2A01F81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2" name="TextBox 111">
          <a:extLst>
            <a:ext uri="{FF2B5EF4-FFF2-40B4-BE49-F238E27FC236}">
              <a16:creationId xmlns:a16="http://schemas.microsoft.com/office/drawing/2014/main" id="{47CDC44F-EDBA-4498-BFF2-750596813F9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3" name="TextBox 112">
          <a:extLst>
            <a:ext uri="{FF2B5EF4-FFF2-40B4-BE49-F238E27FC236}">
              <a16:creationId xmlns:a16="http://schemas.microsoft.com/office/drawing/2014/main" id="{AAD330A1-43A6-4469-941A-78CF68E6D1E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4" name="TextBox 111">
          <a:extLst>
            <a:ext uri="{FF2B5EF4-FFF2-40B4-BE49-F238E27FC236}">
              <a16:creationId xmlns:a16="http://schemas.microsoft.com/office/drawing/2014/main" id="{CB668815-6CF8-4040-9966-772721558E5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5" name="TextBox 112">
          <a:extLst>
            <a:ext uri="{FF2B5EF4-FFF2-40B4-BE49-F238E27FC236}">
              <a16:creationId xmlns:a16="http://schemas.microsoft.com/office/drawing/2014/main" id="{F37C3F64-F460-44A7-AE25-A7EF34B7264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6" name="TextBox 111">
          <a:extLst>
            <a:ext uri="{FF2B5EF4-FFF2-40B4-BE49-F238E27FC236}">
              <a16:creationId xmlns:a16="http://schemas.microsoft.com/office/drawing/2014/main" id="{D9887BD5-8EB3-4E3A-9117-93330F764A4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7" name="TextBox 112">
          <a:extLst>
            <a:ext uri="{FF2B5EF4-FFF2-40B4-BE49-F238E27FC236}">
              <a16:creationId xmlns:a16="http://schemas.microsoft.com/office/drawing/2014/main" id="{B380984B-F966-45D5-8711-AA22164AA53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8" name="TextBox 111">
          <a:extLst>
            <a:ext uri="{FF2B5EF4-FFF2-40B4-BE49-F238E27FC236}">
              <a16:creationId xmlns:a16="http://schemas.microsoft.com/office/drawing/2014/main" id="{021822CC-1DE1-454B-97B0-43EC1146CE5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89" name="TextBox 112">
          <a:extLst>
            <a:ext uri="{FF2B5EF4-FFF2-40B4-BE49-F238E27FC236}">
              <a16:creationId xmlns:a16="http://schemas.microsoft.com/office/drawing/2014/main" id="{2E9F1B79-B023-464A-AB21-8CA640F3CA2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0" name="TextBox 111">
          <a:extLst>
            <a:ext uri="{FF2B5EF4-FFF2-40B4-BE49-F238E27FC236}">
              <a16:creationId xmlns:a16="http://schemas.microsoft.com/office/drawing/2014/main" id="{F4CD1C3E-2954-499B-A07B-A8CB30B2CA7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1" name="TextBox 112">
          <a:extLst>
            <a:ext uri="{FF2B5EF4-FFF2-40B4-BE49-F238E27FC236}">
              <a16:creationId xmlns:a16="http://schemas.microsoft.com/office/drawing/2014/main" id="{4F5FF732-7FA4-44F8-B2DD-8E1DAFC50BC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2" name="TextBox 111">
          <a:extLst>
            <a:ext uri="{FF2B5EF4-FFF2-40B4-BE49-F238E27FC236}">
              <a16:creationId xmlns:a16="http://schemas.microsoft.com/office/drawing/2014/main" id="{4096405B-FA02-48BE-B779-51B942B14FE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3" name="TextBox 112">
          <a:extLst>
            <a:ext uri="{FF2B5EF4-FFF2-40B4-BE49-F238E27FC236}">
              <a16:creationId xmlns:a16="http://schemas.microsoft.com/office/drawing/2014/main" id="{5DA5402C-5D65-4D30-9F0A-CEE6DE471FB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4" name="TextBox 111">
          <a:extLst>
            <a:ext uri="{FF2B5EF4-FFF2-40B4-BE49-F238E27FC236}">
              <a16:creationId xmlns:a16="http://schemas.microsoft.com/office/drawing/2014/main" id="{C6C5EE33-124C-4A5B-AE0B-0319814E4E2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5" name="TextBox 112">
          <a:extLst>
            <a:ext uri="{FF2B5EF4-FFF2-40B4-BE49-F238E27FC236}">
              <a16:creationId xmlns:a16="http://schemas.microsoft.com/office/drawing/2014/main" id="{728F138A-3410-42AF-90E9-C8E105F3731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6" name="TextBox 111">
          <a:extLst>
            <a:ext uri="{FF2B5EF4-FFF2-40B4-BE49-F238E27FC236}">
              <a16:creationId xmlns:a16="http://schemas.microsoft.com/office/drawing/2014/main" id="{9665F7C7-2902-4026-A7F0-083C9FE7711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7" name="TextBox 112">
          <a:extLst>
            <a:ext uri="{FF2B5EF4-FFF2-40B4-BE49-F238E27FC236}">
              <a16:creationId xmlns:a16="http://schemas.microsoft.com/office/drawing/2014/main" id="{A7C7B41F-4291-428E-BA1D-F0520F4884D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8" name="TextBox 111">
          <a:extLst>
            <a:ext uri="{FF2B5EF4-FFF2-40B4-BE49-F238E27FC236}">
              <a16:creationId xmlns:a16="http://schemas.microsoft.com/office/drawing/2014/main" id="{707F4E28-4775-4A3E-94D3-A9AFE210AF0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399" name="TextBox 112">
          <a:extLst>
            <a:ext uri="{FF2B5EF4-FFF2-40B4-BE49-F238E27FC236}">
              <a16:creationId xmlns:a16="http://schemas.microsoft.com/office/drawing/2014/main" id="{2AD52811-06DC-466F-A0CD-06F97639071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0" name="TextBox 111">
          <a:extLst>
            <a:ext uri="{FF2B5EF4-FFF2-40B4-BE49-F238E27FC236}">
              <a16:creationId xmlns:a16="http://schemas.microsoft.com/office/drawing/2014/main" id="{74E7B4C2-1B3F-41AB-A41E-3B05D9093DF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1" name="TextBox 112">
          <a:extLst>
            <a:ext uri="{FF2B5EF4-FFF2-40B4-BE49-F238E27FC236}">
              <a16:creationId xmlns:a16="http://schemas.microsoft.com/office/drawing/2014/main" id="{140C5A83-D6DB-4BA5-BD1B-773B8E0E40D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2" name="TextBox 111">
          <a:extLst>
            <a:ext uri="{FF2B5EF4-FFF2-40B4-BE49-F238E27FC236}">
              <a16:creationId xmlns:a16="http://schemas.microsoft.com/office/drawing/2014/main" id="{6EA5A273-8EAA-4CE0-831D-C90C3EED545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3" name="TextBox 112">
          <a:extLst>
            <a:ext uri="{FF2B5EF4-FFF2-40B4-BE49-F238E27FC236}">
              <a16:creationId xmlns:a16="http://schemas.microsoft.com/office/drawing/2014/main" id="{BEA2B396-65F7-4706-828B-E544F000BA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4" name="TextBox 111">
          <a:extLst>
            <a:ext uri="{FF2B5EF4-FFF2-40B4-BE49-F238E27FC236}">
              <a16:creationId xmlns:a16="http://schemas.microsoft.com/office/drawing/2014/main" id="{E43BC594-A8AE-4378-9605-1EEC16DF41F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5" name="TextBox 112">
          <a:extLst>
            <a:ext uri="{FF2B5EF4-FFF2-40B4-BE49-F238E27FC236}">
              <a16:creationId xmlns:a16="http://schemas.microsoft.com/office/drawing/2014/main" id="{C14E7EBA-FA30-424E-8EDD-7D467A3D2CC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6" name="TextBox 111">
          <a:extLst>
            <a:ext uri="{FF2B5EF4-FFF2-40B4-BE49-F238E27FC236}">
              <a16:creationId xmlns:a16="http://schemas.microsoft.com/office/drawing/2014/main" id="{C779FE53-E6E3-4DBB-AD9B-BE2D5105DD0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7" name="TextBox 112">
          <a:extLst>
            <a:ext uri="{FF2B5EF4-FFF2-40B4-BE49-F238E27FC236}">
              <a16:creationId xmlns:a16="http://schemas.microsoft.com/office/drawing/2014/main" id="{D452BF6E-57B6-4404-B569-84CD4B56411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8" name="TextBox 111">
          <a:extLst>
            <a:ext uri="{FF2B5EF4-FFF2-40B4-BE49-F238E27FC236}">
              <a16:creationId xmlns:a16="http://schemas.microsoft.com/office/drawing/2014/main" id="{3189257C-EE3A-4360-B562-9BD1095ECE3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09" name="TextBox 112">
          <a:extLst>
            <a:ext uri="{FF2B5EF4-FFF2-40B4-BE49-F238E27FC236}">
              <a16:creationId xmlns:a16="http://schemas.microsoft.com/office/drawing/2014/main" id="{74F2C8C8-8FED-4ABB-BB4C-41BEB42B0E8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0" name="TextBox 111">
          <a:extLst>
            <a:ext uri="{FF2B5EF4-FFF2-40B4-BE49-F238E27FC236}">
              <a16:creationId xmlns:a16="http://schemas.microsoft.com/office/drawing/2014/main" id="{70A71695-9214-4DF0-A364-85492EB8ABE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1" name="TextBox 112">
          <a:extLst>
            <a:ext uri="{FF2B5EF4-FFF2-40B4-BE49-F238E27FC236}">
              <a16:creationId xmlns:a16="http://schemas.microsoft.com/office/drawing/2014/main" id="{2605EED8-6915-4073-B571-03DDB84730E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2" name="TextBox 111">
          <a:extLst>
            <a:ext uri="{FF2B5EF4-FFF2-40B4-BE49-F238E27FC236}">
              <a16:creationId xmlns:a16="http://schemas.microsoft.com/office/drawing/2014/main" id="{54C2AAE0-9404-4C3A-82D6-B40D72CBF12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3" name="TextBox 112">
          <a:extLst>
            <a:ext uri="{FF2B5EF4-FFF2-40B4-BE49-F238E27FC236}">
              <a16:creationId xmlns:a16="http://schemas.microsoft.com/office/drawing/2014/main" id="{5D3114FF-D6A8-455D-9807-FB8F74F8C06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4" name="TextBox 111">
          <a:extLst>
            <a:ext uri="{FF2B5EF4-FFF2-40B4-BE49-F238E27FC236}">
              <a16:creationId xmlns:a16="http://schemas.microsoft.com/office/drawing/2014/main" id="{51A0C7B6-8216-41BB-801D-0F4AE48BF08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5" name="TextBox 112">
          <a:extLst>
            <a:ext uri="{FF2B5EF4-FFF2-40B4-BE49-F238E27FC236}">
              <a16:creationId xmlns:a16="http://schemas.microsoft.com/office/drawing/2014/main" id="{DC44DE1E-9ACD-4CAD-BD90-C7C298864E6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6" name="TextBox 111">
          <a:extLst>
            <a:ext uri="{FF2B5EF4-FFF2-40B4-BE49-F238E27FC236}">
              <a16:creationId xmlns:a16="http://schemas.microsoft.com/office/drawing/2014/main" id="{5A589D78-F343-4225-A5DD-563E08F12DA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7" name="TextBox 112">
          <a:extLst>
            <a:ext uri="{FF2B5EF4-FFF2-40B4-BE49-F238E27FC236}">
              <a16:creationId xmlns:a16="http://schemas.microsoft.com/office/drawing/2014/main" id="{92CAEDA5-3CB4-4705-8BBA-079F6AF299E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8" name="TextBox 111">
          <a:extLst>
            <a:ext uri="{FF2B5EF4-FFF2-40B4-BE49-F238E27FC236}">
              <a16:creationId xmlns:a16="http://schemas.microsoft.com/office/drawing/2014/main" id="{5C46CB46-2338-4341-A2CB-37090D56C70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19" name="TextBox 112">
          <a:extLst>
            <a:ext uri="{FF2B5EF4-FFF2-40B4-BE49-F238E27FC236}">
              <a16:creationId xmlns:a16="http://schemas.microsoft.com/office/drawing/2014/main" id="{987526D8-3F80-4992-BE49-E259B4661B1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0" name="TextBox 111">
          <a:extLst>
            <a:ext uri="{FF2B5EF4-FFF2-40B4-BE49-F238E27FC236}">
              <a16:creationId xmlns:a16="http://schemas.microsoft.com/office/drawing/2014/main" id="{5D71B9E4-B8EA-4304-A823-3A649E1A0C5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1" name="TextBox 112">
          <a:extLst>
            <a:ext uri="{FF2B5EF4-FFF2-40B4-BE49-F238E27FC236}">
              <a16:creationId xmlns:a16="http://schemas.microsoft.com/office/drawing/2014/main" id="{3935626D-70E8-427B-97AD-246B3FD773B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2" name="TextBox 111">
          <a:extLst>
            <a:ext uri="{FF2B5EF4-FFF2-40B4-BE49-F238E27FC236}">
              <a16:creationId xmlns:a16="http://schemas.microsoft.com/office/drawing/2014/main" id="{81A0BE40-40E1-447F-89ED-CC34410ACF0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3" name="TextBox 112">
          <a:extLst>
            <a:ext uri="{FF2B5EF4-FFF2-40B4-BE49-F238E27FC236}">
              <a16:creationId xmlns:a16="http://schemas.microsoft.com/office/drawing/2014/main" id="{B16968AB-ADE6-45F0-A6F4-04798DC2392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4" name="TextBox 111">
          <a:extLst>
            <a:ext uri="{FF2B5EF4-FFF2-40B4-BE49-F238E27FC236}">
              <a16:creationId xmlns:a16="http://schemas.microsoft.com/office/drawing/2014/main" id="{69EE2D70-C204-4406-A21B-2A5E3265894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5" name="TextBox 112">
          <a:extLst>
            <a:ext uri="{FF2B5EF4-FFF2-40B4-BE49-F238E27FC236}">
              <a16:creationId xmlns:a16="http://schemas.microsoft.com/office/drawing/2014/main" id="{719F092B-44E1-434F-BAA1-EC6D7D19D9A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6" name="TextBox 111">
          <a:extLst>
            <a:ext uri="{FF2B5EF4-FFF2-40B4-BE49-F238E27FC236}">
              <a16:creationId xmlns:a16="http://schemas.microsoft.com/office/drawing/2014/main" id="{96D41A49-3BCF-49B0-B7BF-5454D7BFC6A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7" name="TextBox 112">
          <a:extLst>
            <a:ext uri="{FF2B5EF4-FFF2-40B4-BE49-F238E27FC236}">
              <a16:creationId xmlns:a16="http://schemas.microsoft.com/office/drawing/2014/main" id="{58144182-E307-4DFD-B06D-42CEF89F58A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8" name="TextBox 111">
          <a:extLst>
            <a:ext uri="{FF2B5EF4-FFF2-40B4-BE49-F238E27FC236}">
              <a16:creationId xmlns:a16="http://schemas.microsoft.com/office/drawing/2014/main" id="{B49870E2-0F45-4D42-B16F-C70ADCA7654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29" name="TextBox 112">
          <a:extLst>
            <a:ext uri="{FF2B5EF4-FFF2-40B4-BE49-F238E27FC236}">
              <a16:creationId xmlns:a16="http://schemas.microsoft.com/office/drawing/2014/main" id="{3B1A88C4-4EDD-4FAD-8198-0FD31C770A7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0" name="TextBox 111">
          <a:extLst>
            <a:ext uri="{FF2B5EF4-FFF2-40B4-BE49-F238E27FC236}">
              <a16:creationId xmlns:a16="http://schemas.microsoft.com/office/drawing/2014/main" id="{FA328AF9-25FE-4D05-9918-FBE7F5CD3FA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1" name="TextBox 112">
          <a:extLst>
            <a:ext uri="{FF2B5EF4-FFF2-40B4-BE49-F238E27FC236}">
              <a16:creationId xmlns:a16="http://schemas.microsoft.com/office/drawing/2014/main" id="{281DBA4A-13EF-4100-BC3C-73830B81874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2" name="TextBox 111">
          <a:extLst>
            <a:ext uri="{FF2B5EF4-FFF2-40B4-BE49-F238E27FC236}">
              <a16:creationId xmlns:a16="http://schemas.microsoft.com/office/drawing/2014/main" id="{4AEF9CE6-94CC-49AB-BE16-EC01477FADD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3" name="TextBox 112">
          <a:extLst>
            <a:ext uri="{FF2B5EF4-FFF2-40B4-BE49-F238E27FC236}">
              <a16:creationId xmlns:a16="http://schemas.microsoft.com/office/drawing/2014/main" id="{C1916E4E-3DDB-4C97-B1AF-510DD8623E7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4" name="TextBox 111">
          <a:extLst>
            <a:ext uri="{FF2B5EF4-FFF2-40B4-BE49-F238E27FC236}">
              <a16:creationId xmlns:a16="http://schemas.microsoft.com/office/drawing/2014/main" id="{6E84CDCA-A9AA-4332-A939-308B72A0B5C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5" name="TextBox 112">
          <a:extLst>
            <a:ext uri="{FF2B5EF4-FFF2-40B4-BE49-F238E27FC236}">
              <a16:creationId xmlns:a16="http://schemas.microsoft.com/office/drawing/2014/main" id="{B26F0476-B96C-41EB-BF0A-92B90559F20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6" name="TextBox 111">
          <a:extLst>
            <a:ext uri="{FF2B5EF4-FFF2-40B4-BE49-F238E27FC236}">
              <a16:creationId xmlns:a16="http://schemas.microsoft.com/office/drawing/2014/main" id="{E0087FFE-A0F2-4707-AE4C-069FAB0B750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7" name="TextBox 112">
          <a:extLst>
            <a:ext uri="{FF2B5EF4-FFF2-40B4-BE49-F238E27FC236}">
              <a16:creationId xmlns:a16="http://schemas.microsoft.com/office/drawing/2014/main" id="{E346FD55-F3DA-4A58-9A18-DD7EA92A57E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8" name="TextBox 111">
          <a:extLst>
            <a:ext uri="{FF2B5EF4-FFF2-40B4-BE49-F238E27FC236}">
              <a16:creationId xmlns:a16="http://schemas.microsoft.com/office/drawing/2014/main" id="{C00978C9-E12E-454E-B686-F9EB9DE16A6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39" name="TextBox 112">
          <a:extLst>
            <a:ext uri="{FF2B5EF4-FFF2-40B4-BE49-F238E27FC236}">
              <a16:creationId xmlns:a16="http://schemas.microsoft.com/office/drawing/2014/main" id="{6B6C6418-0683-458B-8678-44385BFB944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0" name="TextBox 111">
          <a:extLst>
            <a:ext uri="{FF2B5EF4-FFF2-40B4-BE49-F238E27FC236}">
              <a16:creationId xmlns:a16="http://schemas.microsoft.com/office/drawing/2014/main" id="{5A6A12CC-33F5-4FDA-99C5-129914EAA5C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1" name="TextBox 112">
          <a:extLst>
            <a:ext uri="{FF2B5EF4-FFF2-40B4-BE49-F238E27FC236}">
              <a16:creationId xmlns:a16="http://schemas.microsoft.com/office/drawing/2014/main" id="{C0C69CB4-9B93-48D2-A4AC-74C1098EBE0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2" name="TextBox 111">
          <a:extLst>
            <a:ext uri="{FF2B5EF4-FFF2-40B4-BE49-F238E27FC236}">
              <a16:creationId xmlns:a16="http://schemas.microsoft.com/office/drawing/2014/main" id="{46E6D6FE-93A0-46D2-889D-D14EA048132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3" name="TextBox 112">
          <a:extLst>
            <a:ext uri="{FF2B5EF4-FFF2-40B4-BE49-F238E27FC236}">
              <a16:creationId xmlns:a16="http://schemas.microsoft.com/office/drawing/2014/main" id="{60CB8EAF-1007-451E-A510-F66C8117310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4" name="TextBox 111">
          <a:extLst>
            <a:ext uri="{FF2B5EF4-FFF2-40B4-BE49-F238E27FC236}">
              <a16:creationId xmlns:a16="http://schemas.microsoft.com/office/drawing/2014/main" id="{039D3970-86BF-47E4-A944-D280F984BA9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5" name="TextBox 112">
          <a:extLst>
            <a:ext uri="{FF2B5EF4-FFF2-40B4-BE49-F238E27FC236}">
              <a16:creationId xmlns:a16="http://schemas.microsoft.com/office/drawing/2014/main" id="{E436B6BD-7C47-4B91-BDD0-9866C3F5265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6" name="TextBox 111">
          <a:extLst>
            <a:ext uri="{FF2B5EF4-FFF2-40B4-BE49-F238E27FC236}">
              <a16:creationId xmlns:a16="http://schemas.microsoft.com/office/drawing/2014/main" id="{91493DA6-EE80-43EF-9864-0476148856B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7" name="TextBox 112">
          <a:extLst>
            <a:ext uri="{FF2B5EF4-FFF2-40B4-BE49-F238E27FC236}">
              <a16:creationId xmlns:a16="http://schemas.microsoft.com/office/drawing/2014/main" id="{1F0BC879-2D36-4B2E-800B-4DD90E95F54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8" name="TextBox 111">
          <a:extLst>
            <a:ext uri="{FF2B5EF4-FFF2-40B4-BE49-F238E27FC236}">
              <a16:creationId xmlns:a16="http://schemas.microsoft.com/office/drawing/2014/main" id="{FBB6DFEF-F389-4219-93F6-0E44B6C6425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49" name="TextBox 112">
          <a:extLst>
            <a:ext uri="{FF2B5EF4-FFF2-40B4-BE49-F238E27FC236}">
              <a16:creationId xmlns:a16="http://schemas.microsoft.com/office/drawing/2014/main" id="{7EAF94C2-0116-492E-9A27-6F671CE2B73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0" name="TextBox 111">
          <a:extLst>
            <a:ext uri="{FF2B5EF4-FFF2-40B4-BE49-F238E27FC236}">
              <a16:creationId xmlns:a16="http://schemas.microsoft.com/office/drawing/2014/main" id="{36A1ACF6-3995-4546-B4B4-2542C64F72A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1" name="TextBox 112">
          <a:extLst>
            <a:ext uri="{FF2B5EF4-FFF2-40B4-BE49-F238E27FC236}">
              <a16:creationId xmlns:a16="http://schemas.microsoft.com/office/drawing/2014/main" id="{707CEBC2-43B4-4746-80C0-EBA30D56DB4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2" name="TextBox 111">
          <a:extLst>
            <a:ext uri="{FF2B5EF4-FFF2-40B4-BE49-F238E27FC236}">
              <a16:creationId xmlns:a16="http://schemas.microsoft.com/office/drawing/2014/main" id="{D78B5C9A-03B8-4226-A6CE-25392EB6E3D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3" name="TextBox 112">
          <a:extLst>
            <a:ext uri="{FF2B5EF4-FFF2-40B4-BE49-F238E27FC236}">
              <a16:creationId xmlns:a16="http://schemas.microsoft.com/office/drawing/2014/main" id="{EEA3E804-A46F-4138-9D19-19A004F4096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4" name="TextBox 111">
          <a:extLst>
            <a:ext uri="{FF2B5EF4-FFF2-40B4-BE49-F238E27FC236}">
              <a16:creationId xmlns:a16="http://schemas.microsoft.com/office/drawing/2014/main" id="{689357A6-43CC-4681-83E8-2E55F880717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5" name="TextBox 112">
          <a:extLst>
            <a:ext uri="{FF2B5EF4-FFF2-40B4-BE49-F238E27FC236}">
              <a16:creationId xmlns:a16="http://schemas.microsoft.com/office/drawing/2014/main" id="{C393327C-6CCC-4AC4-869B-1B7ABFC562F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6" name="TextBox 111">
          <a:extLst>
            <a:ext uri="{FF2B5EF4-FFF2-40B4-BE49-F238E27FC236}">
              <a16:creationId xmlns:a16="http://schemas.microsoft.com/office/drawing/2014/main" id="{135FB237-8B22-4860-BB4A-52F4A3160B9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7" name="TextBox 112">
          <a:extLst>
            <a:ext uri="{FF2B5EF4-FFF2-40B4-BE49-F238E27FC236}">
              <a16:creationId xmlns:a16="http://schemas.microsoft.com/office/drawing/2014/main" id="{03D4900F-DEC4-4463-A2AB-D063D242DDC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8" name="TextBox 111">
          <a:extLst>
            <a:ext uri="{FF2B5EF4-FFF2-40B4-BE49-F238E27FC236}">
              <a16:creationId xmlns:a16="http://schemas.microsoft.com/office/drawing/2014/main" id="{3A0A2540-2F82-43AC-8D45-419F500AE2E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59" name="TextBox 112">
          <a:extLst>
            <a:ext uri="{FF2B5EF4-FFF2-40B4-BE49-F238E27FC236}">
              <a16:creationId xmlns:a16="http://schemas.microsoft.com/office/drawing/2014/main" id="{B3E1D142-BB49-451B-975B-12130208C7F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0" name="TextBox 111">
          <a:extLst>
            <a:ext uri="{FF2B5EF4-FFF2-40B4-BE49-F238E27FC236}">
              <a16:creationId xmlns:a16="http://schemas.microsoft.com/office/drawing/2014/main" id="{E83834EB-223F-45D4-A870-9D8E14B0441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1" name="TextBox 112">
          <a:extLst>
            <a:ext uri="{FF2B5EF4-FFF2-40B4-BE49-F238E27FC236}">
              <a16:creationId xmlns:a16="http://schemas.microsoft.com/office/drawing/2014/main" id="{F37B2479-0448-49E5-AC52-8A23A98A306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2" name="TextBox 111">
          <a:extLst>
            <a:ext uri="{FF2B5EF4-FFF2-40B4-BE49-F238E27FC236}">
              <a16:creationId xmlns:a16="http://schemas.microsoft.com/office/drawing/2014/main" id="{69F073F4-7088-4447-8037-743D4530D31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3" name="TextBox 112">
          <a:extLst>
            <a:ext uri="{FF2B5EF4-FFF2-40B4-BE49-F238E27FC236}">
              <a16:creationId xmlns:a16="http://schemas.microsoft.com/office/drawing/2014/main" id="{BF0D5A82-BE21-47B2-8F2A-04AB8F73734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4" name="TextBox 111">
          <a:extLst>
            <a:ext uri="{FF2B5EF4-FFF2-40B4-BE49-F238E27FC236}">
              <a16:creationId xmlns:a16="http://schemas.microsoft.com/office/drawing/2014/main" id="{1597378D-1245-4FF9-9102-8411D2AE107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5" name="TextBox 112">
          <a:extLst>
            <a:ext uri="{FF2B5EF4-FFF2-40B4-BE49-F238E27FC236}">
              <a16:creationId xmlns:a16="http://schemas.microsoft.com/office/drawing/2014/main" id="{C2B12CE6-0487-46F9-BB54-0A6CB443856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6" name="TextBox 111">
          <a:extLst>
            <a:ext uri="{FF2B5EF4-FFF2-40B4-BE49-F238E27FC236}">
              <a16:creationId xmlns:a16="http://schemas.microsoft.com/office/drawing/2014/main" id="{8DED6849-3E8F-4386-8881-5110CF9B2F5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7" name="TextBox 112">
          <a:extLst>
            <a:ext uri="{FF2B5EF4-FFF2-40B4-BE49-F238E27FC236}">
              <a16:creationId xmlns:a16="http://schemas.microsoft.com/office/drawing/2014/main" id="{6757FBAA-AD5D-44C8-B984-E192C6920DD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8" name="TextBox 111">
          <a:extLst>
            <a:ext uri="{FF2B5EF4-FFF2-40B4-BE49-F238E27FC236}">
              <a16:creationId xmlns:a16="http://schemas.microsoft.com/office/drawing/2014/main" id="{8BA35B93-A792-4C70-9647-B44E07B2E59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69" name="TextBox 112">
          <a:extLst>
            <a:ext uri="{FF2B5EF4-FFF2-40B4-BE49-F238E27FC236}">
              <a16:creationId xmlns:a16="http://schemas.microsoft.com/office/drawing/2014/main" id="{1F635BCF-C71C-41B6-B855-AD1854AA721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0" name="TextBox 111">
          <a:extLst>
            <a:ext uri="{FF2B5EF4-FFF2-40B4-BE49-F238E27FC236}">
              <a16:creationId xmlns:a16="http://schemas.microsoft.com/office/drawing/2014/main" id="{14DA123E-F6E2-453E-9CC7-E8213CE7B0B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1" name="TextBox 112">
          <a:extLst>
            <a:ext uri="{FF2B5EF4-FFF2-40B4-BE49-F238E27FC236}">
              <a16:creationId xmlns:a16="http://schemas.microsoft.com/office/drawing/2014/main" id="{78C558BE-3D3D-4452-A643-75C93467564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2" name="TextBox 111">
          <a:extLst>
            <a:ext uri="{FF2B5EF4-FFF2-40B4-BE49-F238E27FC236}">
              <a16:creationId xmlns:a16="http://schemas.microsoft.com/office/drawing/2014/main" id="{167961EF-B4DE-473A-BC72-6F25D93E3AB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3" name="TextBox 112">
          <a:extLst>
            <a:ext uri="{FF2B5EF4-FFF2-40B4-BE49-F238E27FC236}">
              <a16:creationId xmlns:a16="http://schemas.microsoft.com/office/drawing/2014/main" id="{72203BC6-0E72-4F0E-A154-5F4CBB3870B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4" name="TextBox 111">
          <a:extLst>
            <a:ext uri="{FF2B5EF4-FFF2-40B4-BE49-F238E27FC236}">
              <a16:creationId xmlns:a16="http://schemas.microsoft.com/office/drawing/2014/main" id="{87074BDC-1DC4-4F5F-A99C-780456BD2E1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5" name="TextBox 112">
          <a:extLst>
            <a:ext uri="{FF2B5EF4-FFF2-40B4-BE49-F238E27FC236}">
              <a16:creationId xmlns:a16="http://schemas.microsoft.com/office/drawing/2014/main" id="{297AF61C-88B2-4202-8E94-8020AA439AF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6" name="TextBox 111">
          <a:extLst>
            <a:ext uri="{FF2B5EF4-FFF2-40B4-BE49-F238E27FC236}">
              <a16:creationId xmlns:a16="http://schemas.microsoft.com/office/drawing/2014/main" id="{EEA4FD47-DA44-4F5A-BC68-2AF57A3DB6B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7" name="TextBox 112">
          <a:extLst>
            <a:ext uri="{FF2B5EF4-FFF2-40B4-BE49-F238E27FC236}">
              <a16:creationId xmlns:a16="http://schemas.microsoft.com/office/drawing/2014/main" id="{49F6D7A2-A905-41A8-85CB-C6007E8BEBC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8" name="TextBox 111">
          <a:extLst>
            <a:ext uri="{FF2B5EF4-FFF2-40B4-BE49-F238E27FC236}">
              <a16:creationId xmlns:a16="http://schemas.microsoft.com/office/drawing/2014/main" id="{0F5FB864-42A5-4B5E-9DED-07F237664D4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79" name="TextBox 112">
          <a:extLst>
            <a:ext uri="{FF2B5EF4-FFF2-40B4-BE49-F238E27FC236}">
              <a16:creationId xmlns:a16="http://schemas.microsoft.com/office/drawing/2014/main" id="{508D6796-8C52-4789-B15E-7A8C135F8EE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0" name="TextBox 111">
          <a:extLst>
            <a:ext uri="{FF2B5EF4-FFF2-40B4-BE49-F238E27FC236}">
              <a16:creationId xmlns:a16="http://schemas.microsoft.com/office/drawing/2014/main" id="{3810F59A-6F1F-4E49-A0C9-E9061FDBFB8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1" name="TextBox 112">
          <a:extLst>
            <a:ext uri="{FF2B5EF4-FFF2-40B4-BE49-F238E27FC236}">
              <a16:creationId xmlns:a16="http://schemas.microsoft.com/office/drawing/2014/main" id="{407F343D-4781-4DF1-A290-FE3766584A4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2" name="TextBox 111">
          <a:extLst>
            <a:ext uri="{FF2B5EF4-FFF2-40B4-BE49-F238E27FC236}">
              <a16:creationId xmlns:a16="http://schemas.microsoft.com/office/drawing/2014/main" id="{F5ED46EE-00A7-44AD-83EC-648D5B0F324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3" name="TextBox 112">
          <a:extLst>
            <a:ext uri="{FF2B5EF4-FFF2-40B4-BE49-F238E27FC236}">
              <a16:creationId xmlns:a16="http://schemas.microsoft.com/office/drawing/2014/main" id="{C16A5913-A79F-4979-9EB5-F32FA806FF1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4" name="TextBox 111">
          <a:extLst>
            <a:ext uri="{FF2B5EF4-FFF2-40B4-BE49-F238E27FC236}">
              <a16:creationId xmlns:a16="http://schemas.microsoft.com/office/drawing/2014/main" id="{98160319-889B-41F5-B0C5-5F14841CB59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5" name="TextBox 112">
          <a:extLst>
            <a:ext uri="{FF2B5EF4-FFF2-40B4-BE49-F238E27FC236}">
              <a16:creationId xmlns:a16="http://schemas.microsoft.com/office/drawing/2014/main" id="{DF1A8BD5-9514-4E71-A8BD-32884B316B3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6" name="TextBox 111">
          <a:extLst>
            <a:ext uri="{FF2B5EF4-FFF2-40B4-BE49-F238E27FC236}">
              <a16:creationId xmlns:a16="http://schemas.microsoft.com/office/drawing/2014/main" id="{9E3FA804-278B-4D85-82CA-D0E97F5A75D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7" name="TextBox 112">
          <a:extLst>
            <a:ext uri="{FF2B5EF4-FFF2-40B4-BE49-F238E27FC236}">
              <a16:creationId xmlns:a16="http://schemas.microsoft.com/office/drawing/2014/main" id="{525B83AF-FC7D-4D8B-BCAB-74DF8260383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8" name="TextBox 111">
          <a:extLst>
            <a:ext uri="{FF2B5EF4-FFF2-40B4-BE49-F238E27FC236}">
              <a16:creationId xmlns:a16="http://schemas.microsoft.com/office/drawing/2014/main" id="{62BE83D1-289E-4E63-9B98-DD0D9F02AC3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89" name="TextBox 112">
          <a:extLst>
            <a:ext uri="{FF2B5EF4-FFF2-40B4-BE49-F238E27FC236}">
              <a16:creationId xmlns:a16="http://schemas.microsoft.com/office/drawing/2014/main" id="{B05978CD-ACA8-4A9B-B9CE-04FA953A3E6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0" name="TextBox 111">
          <a:extLst>
            <a:ext uri="{FF2B5EF4-FFF2-40B4-BE49-F238E27FC236}">
              <a16:creationId xmlns:a16="http://schemas.microsoft.com/office/drawing/2014/main" id="{17DF7B01-046E-40B8-A808-A305E5991DF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1" name="TextBox 112">
          <a:extLst>
            <a:ext uri="{FF2B5EF4-FFF2-40B4-BE49-F238E27FC236}">
              <a16:creationId xmlns:a16="http://schemas.microsoft.com/office/drawing/2014/main" id="{F931F79D-F5B1-4866-8C04-8848DBF76E0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2" name="TextBox 111">
          <a:extLst>
            <a:ext uri="{FF2B5EF4-FFF2-40B4-BE49-F238E27FC236}">
              <a16:creationId xmlns:a16="http://schemas.microsoft.com/office/drawing/2014/main" id="{AF7CD745-B988-4C1D-BC1D-2066A47DA3C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3" name="TextBox 112">
          <a:extLst>
            <a:ext uri="{FF2B5EF4-FFF2-40B4-BE49-F238E27FC236}">
              <a16:creationId xmlns:a16="http://schemas.microsoft.com/office/drawing/2014/main" id="{48484D19-7AF8-4342-8F65-72C26111FC1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4" name="TextBox 111">
          <a:extLst>
            <a:ext uri="{FF2B5EF4-FFF2-40B4-BE49-F238E27FC236}">
              <a16:creationId xmlns:a16="http://schemas.microsoft.com/office/drawing/2014/main" id="{39D91D4E-0BB3-4BA7-9D19-D68B588B899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5" name="TextBox 112">
          <a:extLst>
            <a:ext uri="{FF2B5EF4-FFF2-40B4-BE49-F238E27FC236}">
              <a16:creationId xmlns:a16="http://schemas.microsoft.com/office/drawing/2014/main" id="{A0449B18-D44C-4695-9786-EFDEA922C8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6" name="TextBox 111">
          <a:extLst>
            <a:ext uri="{FF2B5EF4-FFF2-40B4-BE49-F238E27FC236}">
              <a16:creationId xmlns:a16="http://schemas.microsoft.com/office/drawing/2014/main" id="{47B2AFDA-DD97-4AFF-8CC5-960D9E24551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7" name="TextBox 112">
          <a:extLst>
            <a:ext uri="{FF2B5EF4-FFF2-40B4-BE49-F238E27FC236}">
              <a16:creationId xmlns:a16="http://schemas.microsoft.com/office/drawing/2014/main" id="{11F2A499-C372-445C-A6F3-F84A3DCE67F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8" name="TextBox 111">
          <a:extLst>
            <a:ext uri="{FF2B5EF4-FFF2-40B4-BE49-F238E27FC236}">
              <a16:creationId xmlns:a16="http://schemas.microsoft.com/office/drawing/2014/main" id="{283B4235-CED0-45AA-8CA2-6BC464BF805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499" name="TextBox 112">
          <a:extLst>
            <a:ext uri="{FF2B5EF4-FFF2-40B4-BE49-F238E27FC236}">
              <a16:creationId xmlns:a16="http://schemas.microsoft.com/office/drawing/2014/main" id="{EEA28084-A1AA-4686-A1BF-3D16CCD04CB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0" name="TextBox 111">
          <a:extLst>
            <a:ext uri="{FF2B5EF4-FFF2-40B4-BE49-F238E27FC236}">
              <a16:creationId xmlns:a16="http://schemas.microsoft.com/office/drawing/2014/main" id="{874BD431-06F1-40D1-BB3D-4704869E056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1" name="TextBox 112">
          <a:extLst>
            <a:ext uri="{FF2B5EF4-FFF2-40B4-BE49-F238E27FC236}">
              <a16:creationId xmlns:a16="http://schemas.microsoft.com/office/drawing/2014/main" id="{DD75040D-ABE3-4243-A18D-C2E27D23891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2" name="TextBox 111">
          <a:extLst>
            <a:ext uri="{FF2B5EF4-FFF2-40B4-BE49-F238E27FC236}">
              <a16:creationId xmlns:a16="http://schemas.microsoft.com/office/drawing/2014/main" id="{DB4A0D7B-CEA8-4711-9A0D-29EAE2FD7AE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3" name="TextBox 112">
          <a:extLst>
            <a:ext uri="{FF2B5EF4-FFF2-40B4-BE49-F238E27FC236}">
              <a16:creationId xmlns:a16="http://schemas.microsoft.com/office/drawing/2014/main" id="{7FA674E0-9494-4DCB-AE58-49832B32262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4" name="TextBox 111">
          <a:extLst>
            <a:ext uri="{FF2B5EF4-FFF2-40B4-BE49-F238E27FC236}">
              <a16:creationId xmlns:a16="http://schemas.microsoft.com/office/drawing/2014/main" id="{0F277F8E-5FF8-434D-ACD0-06B4450AB94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5" name="TextBox 112">
          <a:extLst>
            <a:ext uri="{FF2B5EF4-FFF2-40B4-BE49-F238E27FC236}">
              <a16:creationId xmlns:a16="http://schemas.microsoft.com/office/drawing/2014/main" id="{649A93F8-6346-475F-ABD4-98CA6BFB50C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6" name="TextBox 111">
          <a:extLst>
            <a:ext uri="{FF2B5EF4-FFF2-40B4-BE49-F238E27FC236}">
              <a16:creationId xmlns:a16="http://schemas.microsoft.com/office/drawing/2014/main" id="{FBDED3B6-4F83-4CD9-9490-CD4F26FC919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7" name="TextBox 112">
          <a:extLst>
            <a:ext uri="{FF2B5EF4-FFF2-40B4-BE49-F238E27FC236}">
              <a16:creationId xmlns:a16="http://schemas.microsoft.com/office/drawing/2014/main" id="{EF223E41-FC85-45A5-91A9-1F12854AFF1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8" name="TextBox 111">
          <a:extLst>
            <a:ext uri="{FF2B5EF4-FFF2-40B4-BE49-F238E27FC236}">
              <a16:creationId xmlns:a16="http://schemas.microsoft.com/office/drawing/2014/main" id="{CD11106E-F196-4831-A95B-A2C4413EC84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09" name="TextBox 112">
          <a:extLst>
            <a:ext uri="{FF2B5EF4-FFF2-40B4-BE49-F238E27FC236}">
              <a16:creationId xmlns:a16="http://schemas.microsoft.com/office/drawing/2014/main" id="{B6642C38-E927-4EEF-A0BD-3B6D8F0D548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0" name="TextBox 111">
          <a:extLst>
            <a:ext uri="{FF2B5EF4-FFF2-40B4-BE49-F238E27FC236}">
              <a16:creationId xmlns:a16="http://schemas.microsoft.com/office/drawing/2014/main" id="{C3401CBB-8042-481B-BAD6-2AA9EC6CA9E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1" name="TextBox 112">
          <a:extLst>
            <a:ext uri="{FF2B5EF4-FFF2-40B4-BE49-F238E27FC236}">
              <a16:creationId xmlns:a16="http://schemas.microsoft.com/office/drawing/2014/main" id="{B00EDAF0-B8C7-467A-ACD4-E967C18B681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2" name="TextBox 111">
          <a:extLst>
            <a:ext uri="{FF2B5EF4-FFF2-40B4-BE49-F238E27FC236}">
              <a16:creationId xmlns:a16="http://schemas.microsoft.com/office/drawing/2014/main" id="{E272FB60-0845-4082-BA1B-3DD0BDEF601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3" name="TextBox 112">
          <a:extLst>
            <a:ext uri="{FF2B5EF4-FFF2-40B4-BE49-F238E27FC236}">
              <a16:creationId xmlns:a16="http://schemas.microsoft.com/office/drawing/2014/main" id="{35129BD6-DDA6-4084-A4DA-8F6B2417533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4" name="TextBox 111">
          <a:extLst>
            <a:ext uri="{FF2B5EF4-FFF2-40B4-BE49-F238E27FC236}">
              <a16:creationId xmlns:a16="http://schemas.microsoft.com/office/drawing/2014/main" id="{03FB548A-2365-48B7-85AF-C4B11B9A884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5" name="TextBox 112">
          <a:extLst>
            <a:ext uri="{FF2B5EF4-FFF2-40B4-BE49-F238E27FC236}">
              <a16:creationId xmlns:a16="http://schemas.microsoft.com/office/drawing/2014/main" id="{295EBD0E-042A-4765-A0D3-4372C774E5D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6" name="TextBox 111">
          <a:extLst>
            <a:ext uri="{FF2B5EF4-FFF2-40B4-BE49-F238E27FC236}">
              <a16:creationId xmlns:a16="http://schemas.microsoft.com/office/drawing/2014/main" id="{C7C2E754-5D13-4C9D-BFE3-A57347D0B85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7" name="TextBox 112">
          <a:extLst>
            <a:ext uri="{FF2B5EF4-FFF2-40B4-BE49-F238E27FC236}">
              <a16:creationId xmlns:a16="http://schemas.microsoft.com/office/drawing/2014/main" id="{65C4BBDF-4A04-406D-8897-9B005EE42C6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8" name="TextBox 111">
          <a:extLst>
            <a:ext uri="{FF2B5EF4-FFF2-40B4-BE49-F238E27FC236}">
              <a16:creationId xmlns:a16="http://schemas.microsoft.com/office/drawing/2014/main" id="{9757E13C-9905-40C0-B0CC-CFFDF3DCF13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19" name="TextBox 112">
          <a:extLst>
            <a:ext uri="{FF2B5EF4-FFF2-40B4-BE49-F238E27FC236}">
              <a16:creationId xmlns:a16="http://schemas.microsoft.com/office/drawing/2014/main" id="{EEAE5756-5C47-492F-A6B2-19AAFB53427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0" name="TextBox 111">
          <a:extLst>
            <a:ext uri="{FF2B5EF4-FFF2-40B4-BE49-F238E27FC236}">
              <a16:creationId xmlns:a16="http://schemas.microsoft.com/office/drawing/2014/main" id="{EF62FB6D-27FE-4ADF-A757-145DACFD474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1" name="TextBox 112">
          <a:extLst>
            <a:ext uri="{FF2B5EF4-FFF2-40B4-BE49-F238E27FC236}">
              <a16:creationId xmlns:a16="http://schemas.microsoft.com/office/drawing/2014/main" id="{BA0CAF9D-EE10-4D1A-86E6-0F0B1CC17D3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2" name="TextBox 111">
          <a:extLst>
            <a:ext uri="{FF2B5EF4-FFF2-40B4-BE49-F238E27FC236}">
              <a16:creationId xmlns:a16="http://schemas.microsoft.com/office/drawing/2014/main" id="{25970244-65C9-4114-AD7A-DA7776559BD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3" name="TextBox 112">
          <a:extLst>
            <a:ext uri="{FF2B5EF4-FFF2-40B4-BE49-F238E27FC236}">
              <a16:creationId xmlns:a16="http://schemas.microsoft.com/office/drawing/2014/main" id="{A1C2F096-AB79-4A11-A501-497E6987B8D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4" name="TextBox 111">
          <a:extLst>
            <a:ext uri="{FF2B5EF4-FFF2-40B4-BE49-F238E27FC236}">
              <a16:creationId xmlns:a16="http://schemas.microsoft.com/office/drawing/2014/main" id="{E6458550-4670-47E7-9DBF-989D33AA216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5" name="TextBox 112">
          <a:extLst>
            <a:ext uri="{FF2B5EF4-FFF2-40B4-BE49-F238E27FC236}">
              <a16:creationId xmlns:a16="http://schemas.microsoft.com/office/drawing/2014/main" id="{E8EDAE29-4E10-493A-B945-689BA3A72E0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6" name="TextBox 111">
          <a:extLst>
            <a:ext uri="{FF2B5EF4-FFF2-40B4-BE49-F238E27FC236}">
              <a16:creationId xmlns:a16="http://schemas.microsoft.com/office/drawing/2014/main" id="{493C3D4F-CE27-462D-AD82-82D18F7F7B0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7" name="TextBox 112">
          <a:extLst>
            <a:ext uri="{FF2B5EF4-FFF2-40B4-BE49-F238E27FC236}">
              <a16:creationId xmlns:a16="http://schemas.microsoft.com/office/drawing/2014/main" id="{9C0AA30C-2B21-4B77-ACBB-F8BF12D9618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8" name="TextBox 111">
          <a:extLst>
            <a:ext uri="{FF2B5EF4-FFF2-40B4-BE49-F238E27FC236}">
              <a16:creationId xmlns:a16="http://schemas.microsoft.com/office/drawing/2014/main" id="{C5589C3E-8912-45A9-AAAA-8364E611A38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29" name="TextBox 112">
          <a:extLst>
            <a:ext uri="{FF2B5EF4-FFF2-40B4-BE49-F238E27FC236}">
              <a16:creationId xmlns:a16="http://schemas.microsoft.com/office/drawing/2014/main" id="{75276399-40D1-446F-B449-A2E5B0E7FE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0" name="TextBox 111">
          <a:extLst>
            <a:ext uri="{FF2B5EF4-FFF2-40B4-BE49-F238E27FC236}">
              <a16:creationId xmlns:a16="http://schemas.microsoft.com/office/drawing/2014/main" id="{43829343-84DA-4C5A-B9CB-A1918C435BB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1" name="TextBox 112">
          <a:extLst>
            <a:ext uri="{FF2B5EF4-FFF2-40B4-BE49-F238E27FC236}">
              <a16:creationId xmlns:a16="http://schemas.microsoft.com/office/drawing/2014/main" id="{0A5648F6-96AC-42D2-90BF-30B0BB62CF4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2" name="TextBox 111">
          <a:extLst>
            <a:ext uri="{FF2B5EF4-FFF2-40B4-BE49-F238E27FC236}">
              <a16:creationId xmlns:a16="http://schemas.microsoft.com/office/drawing/2014/main" id="{4A4D2519-F570-45EA-8AB3-12340D2CC66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3" name="TextBox 112">
          <a:extLst>
            <a:ext uri="{FF2B5EF4-FFF2-40B4-BE49-F238E27FC236}">
              <a16:creationId xmlns:a16="http://schemas.microsoft.com/office/drawing/2014/main" id="{F16EC8DF-DE9E-4612-AF04-2B5B74D3C05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4" name="TextBox 111">
          <a:extLst>
            <a:ext uri="{FF2B5EF4-FFF2-40B4-BE49-F238E27FC236}">
              <a16:creationId xmlns:a16="http://schemas.microsoft.com/office/drawing/2014/main" id="{6A80B34D-A393-42E1-B861-1CDD2D33DD6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5" name="TextBox 112">
          <a:extLst>
            <a:ext uri="{FF2B5EF4-FFF2-40B4-BE49-F238E27FC236}">
              <a16:creationId xmlns:a16="http://schemas.microsoft.com/office/drawing/2014/main" id="{13F773A9-0582-4067-8F3F-AF7CE1CEC2F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6" name="TextBox 111">
          <a:extLst>
            <a:ext uri="{FF2B5EF4-FFF2-40B4-BE49-F238E27FC236}">
              <a16:creationId xmlns:a16="http://schemas.microsoft.com/office/drawing/2014/main" id="{0A5DCF68-EEB7-4DFC-82FE-268E5A2AA90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7" name="TextBox 112">
          <a:extLst>
            <a:ext uri="{FF2B5EF4-FFF2-40B4-BE49-F238E27FC236}">
              <a16:creationId xmlns:a16="http://schemas.microsoft.com/office/drawing/2014/main" id="{82A47229-17D6-4806-B5E3-38EB5662885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8" name="TextBox 111">
          <a:extLst>
            <a:ext uri="{FF2B5EF4-FFF2-40B4-BE49-F238E27FC236}">
              <a16:creationId xmlns:a16="http://schemas.microsoft.com/office/drawing/2014/main" id="{EC2934E4-69D5-420B-BE5F-A3893A930C7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39" name="TextBox 112">
          <a:extLst>
            <a:ext uri="{FF2B5EF4-FFF2-40B4-BE49-F238E27FC236}">
              <a16:creationId xmlns:a16="http://schemas.microsoft.com/office/drawing/2014/main" id="{D6F8537D-9799-4B96-BF70-C33ACFCEDBD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0" name="TextBox 111">
          <a:extLst>
            <a:ext uri="{FF2B5EF4-FFF2-40B4-BE49-F238E27FC236}">
              <a16:creationId xmlns:a16="http://schemas.microsoft.com/office/drawing/2014/main" id="{363F0A2B-5F33-4D5B-A30A-AE6AB9E04D4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1" name="TextBox 112">
          <a:extLst>
            <a:ext uri="{FF2B5EF4-FFF2-40B4-BE49-F238E27FC236}">
              <a16:creationId xmlns:a16="http://schemas.microsoft.com/office/drawing/2014/main" id="{8DAEA836-CDD8-4DA6-80D2-604A2D96ECA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2" name="TextBox 111">
          <a:extLst>
            <a:ext uri="{FF2B5EF4-FFF2-40B4-BE49-F238E27FC236}">
              <a16:creationId xmlns:a16="http://schemas.microsoft.com/office/drawing/2014/main" id="{1D48ABF8-478E-4AC8-A428-F1E27D738CA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3" name="TextBox 112">
          <a:extLst>
            <a:ext uri="{FF2B5EF4-FFF2-40B4-BE49-F238E27FC236}">
              <a16:creationId xmlns:a16="http://schemas.microsoft.com/office/drawing/2014/main" id="{444344E4-A7B9-4CE7-9803-FE93E2F052D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4" name="TextBox 111">
          <a:extLst>
            <a:ext uri="{FF2B5EF4-FFF2-40B4-BE49-F238E27FC236}">
              <a16:creationId xmlns:a16="http://schemas.microsoft.com/office/drawing/2014/main" id="{1CE2A850-1D19-4104-A6CB-878917F330B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5" name="TextBox 112">
          <a:extLst>
            <a:ext uri="{FF2B5EF4-FFF2-40B4-BE49-F238E27FC236}">
              <a16:creationId xmlns:a16="http://schemas.microsoft.com/office/drawing/2014/main" id="{5959C6C7-E6D8-4390-BFD8-AC20E149BD9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6" name="TextBox 111">
          <a:extLst>
            <a:ext uri="{FF2B5EF4-FFF2-40B4-BE49-F238E27FC236}">
              <a16:creationId xmlns:a16="http://schemas.microsoft.com/office/drawing/2014/main" id="{A1B56218-3882-44C3-8939-B50FBA5CFEE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7" name="TextBox 112">
          <a:extLst>
            <a:ext uri="{FF2B5EF4-FFF2-40B4-BE49-F238E27FC236}">
              <a16:creationId xmlns:a16="http://schemas.microsoft.com/office/drawing/2014/main" id="{B234F2AA-7C7A-4322-A48A-E3D59EF2F05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8" name="TextBox 111">
          <a:extLst>
            <a:ext uri="{FF2B5EF4-FFF2-40B4-BE49-F238E27FC236}">
              <a16:creationId xmlns:a16="http://schemas.microsoft.com/office/drawing/2014/main" id="{68810ECA-D56B-49FD-B0BA-A589C7D8D4D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49" name="TextBox 112">
          <a:extLst>
            <a:ext uri="{FF2B5EF4-FFF2-40B4-BE49-F238E27FC236}">
              <a16:creationId xmlns:a16="http://schemas.microsoft.com/office/drawing/2014/main" id="{40379E76-369F-4B06-BFB7-EDD20ECD6EC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0" name="TextBox 111">
          <a:extLst>
            <a:ext uri="{FF2B5EF4-FFF2-40B4-BE49-F238E27FC236}">
              <a16:creationId xmlns:a16="http://schemas.microsoft.com/office/drawing/2014/main" id="{24527249-CFC9-4F6B-AFE1-61B5AC1B86B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1" name="TextBox 112">
          <a:extLst>
            <a:ext uri="{FF2B5EF4-FFF2-40B4-BE49-F238E27FC236}">
              <a16:creationId xmlns:a16="http://schemas.microsoft.com/office/drawing/2014/main" id="{6892D356-D71E-474A-BC4F-E72FD14BF7F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2" name="TextBox 111">
          <a:extLst>
            <a:ext uri="{FF2B5EF4-FFF2-40B4-BE49-F238E27FC236}">
              <a16:creationId xmlns:a16="http://schemas.microsoft.com/office/drawing/2014/main" id="{0D054FFF-31BE-44E4-ADA2-32EA6CFE066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3" name="TextBox 112">
          <a:extLst>
            <a:ext uri="{FF2B5EF4-FFF2-40B4-BE49-F238E27FC236}">
              <a16:creationId xmlns:a16="http://schemas.microsoft.com/office/drawing/2014/main" id="{B881D152-2402-4F91-94CA-88C64319AC6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4" name="TextBox 111">
          <a:extLst>
            <a:ext uri="{FF2B5EF4-FFF2-40B4-BE49-F238E27FC236}">
              <a16:creationId xmlns:a16="http://schemas.microsoft.com/office/drawing/2014/main" id="{D489B874-48F2-4E3E-AA81-6FA6A8FF2B4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5" name="TextBox 112">
          <a:extLst>
            <a:ext uri="{FF2B5EF4-FFF2-40B4-BE49-F238E27FC236}">
              <a16:creationId xmlns:a16="http://schemas.microsoft.com/office/drawing/2014/main" id="{80913586-8382-4880-B5EC-56308F06F4D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6" name="TextBox 111">
          <a:extLst>
            <a:ext uri="{FF2B5EF4-FFF2-40B4-BE49-F238E27FC236}">
              <a16:creationId xmlns:a16="http://schemas.microsoft.com/office/drawing/2014/main" id="{C7BE1FFE-FE0D-4229-84A0-058577D40B5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7" name="TextBox 112">
          <a:extLst>
            <a:ext uri="{FF2B5EF4-FFF2-40B4-BE49-F238E27FC236}">
              <a16:creationId xmlns:a16="http://schemas.microsoft.com/office/drawing/2014/main" id="{FAF1EB00-5D4E-4A25-9F3D-65BCD4167DD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8" name="TextBox 111">
          <a:extLst>
            <a:ext uri="{FF2B5EF4-FFF2-40B4-BE49-F238E27FC236}">
              <a16:creationId xmlns:a16="http://schemas.microsoft.com/office/drawing/2014/main" id="{E17552B0-7414-4479-9081-539451E0098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59" name="TextBox 112">
          <a:extLst>
            <a:ext uri="{FF2B5EF4-FFF2-40B4-BE49-F238E27FC236}">
              <a16:creationId xmlns:a16="http://schemas.microsoft.com/office/drawing/2014/main" id="{AFF3EEA9-4C05-4109-B1A8-89162C2647A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0" name="TextBox 111">
          <a:extLst>
            <a:ext uri="{FF2B5EF4-FFF2-40B4-BE49-F238E27FC236}">
              <a16:creationId xmlns:a16="http://schemas.microsoft.com/office/drawing/2014/main" id="{9B4D38F4-383B-4AC4-B37E-950CB5D57A7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1" name="TextBox 112">
          <a:extLst>
            <a:ext uri="{FF2B5EF4-FFF2-40B4-BE49-F238E27FC236}">
              <a16:creationId xmlns:a16="http://schemas.microsoft.com/office/drawing/2014/main" id="{A75AA9B1-FA39-43A5-B06D-1109A0DDB74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2" name="TextBox 111">
          <a:extLst>
            <a:ext uri="{FF2B5EF4-FFF2-40B4-BE49-F238E27FC236}">
              <a16:creationId xmlns:a16="http://schemas.microsoft.com/office/drawing/2014/main" id="{EF441E2A-7A00-4BDA-B753-7D2F15DD6E5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3" name="TextBox 112">
          <a:extLst>
            <a:ext uri="{FF2B5EF4-FFF2-40B4-BE49-F238E27FC236}">
              <a16:creationId xmlns:a16="http://schemas.microsoft.com/office/drawing/2014/main" id="{0A013013-3B04-47A7-8200-D9BAB5D83A7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4" name="TextBox 111">
          <a:extLst>
            <a:ext uri="{FF2B5EF4-FFF2-40B4-BE49-F238E27FC236}">
              <a16:creationId xmlns:a16="http://schemas.microsoft.com/office/drawing/2014/main" id="{89C8C2BA-ADC1-44E2-B9E3-E591B6C56EE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5" name="TextBox 112">
          <a:extLst>
            <a:ext uri="{FF2B5EF4-FFF2-40B4-BE49-F238E27FC236}">
              <a16:creationId xmlns:a16="http://schemas.microsoft.com/office/drawing/2014/main" id="{968686A4-49D1-486F-A5C1-F8636C5DBDC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6" name="TextBox 111">
          <a:extLst>
            <a:ext uri="{FF2B5EF4-FFF2-40B4-BE49-F238E27FC236}">
              <a16:creationId xmlns:a16="http://schemas.microsoft.com/office/drawing/2014/main" id="{D3F0846E-C63F-4D4E-B9DF-94826D49906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7" name="TextBox 112">
          <a:extLst>
            <a:ext uri="{FF2B5EF4-FFF2-40B4-BE49-F238E27FC236}">
              <a16:creationId xmlns:a16="http://schemas.microsoft.com/office/drawing/2014/main" id="{59E3F9D8-E6B3-47E1-85EF-64D5D2AC91D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8" name="TextBox 111">
          <a:extLst>
            <a:ext uri="{FF2B5EF4-FFF2-40B4-BE49-F238E27FC236}">
              <a16:creationId xmlns:a16="http://schemas.microsoft.com/office/drawing/2014/main" id="{2A1A49ED-C0A8-4E56-A480-6CED7662DF4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69" name="TextBox 112">
          <a:extLst>
            <a:ext uri="{FF2B5EF4-FFF2-40B4-BE49-F238E27FC236}">
              <a16:creationId xmlns:a16="http://schemas.microsoft.com/office/drawing/2014/main" id="{76A7B594-3343-4B6A-A22E-66F2470A15A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0" name="TextBox 111">
          <a:extLst>
            <a:ext uri="{FF2B5EF4-FFF2-40B4-BE49-F238E27FC236}">
              <a16:creationId xmlns:a16="http://schemas.microsoft.com/office/drawing/2014/main" id="{20021083-79A2-463A-BBD6-2747DA358ED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1" name="TextBox 112">
          <a:extLst>
            <a:ext uri="{FF2B5EF4-FFF2-40B4-BE49-F238E27FC236}">
              <a16:creationId xmlns:a16="http://schemas.microsoft.com/office/drawing/2014/main" id="{72046C7B-B46C-4716-8EAB-1E088CF0A38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2" name="TextBox 111">
          <a:extLst>
            <a:ext uri="{FF2B5EF4-FFF2-40B4-BE49-F238E27FC236}">
              <a16:creationId xmlns:a16="http://schemas.microsoft.com/office/drawing/2014/main" id="{CD81EBF2-384E-4BAA-A584-7E9FC94DA1A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3" name="TextBox 112">
          <a:extLst>
            <a:ext uri="{FF2B5EF4-FFF2-40B4-BE49-F238E27FC236}">
              <a16:creationId xmlns:a16="http://schemas.microsoft.com/office/drawing/2014/main" id="{2618F15A-5814-4478-BDAA-643AF8056A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4" name="TextBox 111">
          <a:extLst>
            <a:ext uri="{FF2B5EF4-FFF2-40B4-BE49-F238E27FC236}">
              <a16:creationId xmlns:a16="http://schemas.microsoft.com/office/drawing/2014/main" id="{AC152945-6609-4410-88D5-C6890477564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5" name="TextBox 112">
          <a:extLst>
            <a:ext uri="{FF2B5EF4-FFF2-40B4-BE49-F238E27FC236}">
              <a16:creationId xmlns:a16="http://schemas.microsoft.com/office/drawing/2014/main" id="{FD8F97F9-6B77-4A38-8C31-D4DFD8599FA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6" name="TextBox 111">
          <a:extLst>
            <a:ext uri="{FF2B5EF4-FFF2-40B4-BE49-F238E27FC236}">
              <a16:creationId xmlns:a16="http://schemas.microsoft.com/office/drawing/2014/main" id="{8D9C0CC5-3D71-4315-BEA4-5C05801EA2D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7" name="TextBox 112">
          <a:extLst>
            <a:ext uri="{FF2B5EF4-FFF2-40B4-BE49-F238E27FC236}">
              <a16:creationId xmlns:a16="http://schemas.microsoft.com/office/drawing/2014/main" id="{A5BC58F7-4AE4-4C98-9E3C-09EFDD5EEE9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8" name="TextBox 111">
          <a:extLst>
            <a:ext uri="{FF2B5EF4-FFF2-40B4-BE49-F238E27FC236}">
              <a16:creationId xmlns:a16="http://schemas.microsoft.com/office/drawing/2014/main" id="{59A724D4-3F65-4C2B-9AD7-B20372377E4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79" name="TextBox 112">
          <a:extLst>
            <a:ext uri="{FF2B5EF4-FFF2-40B4-BE49-F238E27FC236}">
              <a16:creationId xmlns:a16="http://schemas.microsoft.com/office/drawing/2014/main" id="{3A6DD0D1-71C0-4E4A-A5B9-B7914E0BABA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0" name="TextBox 111">
          <a:extLst>
            <a:ext uri="{FF2B5EF4-FFF2-40B4-BE49-F238E27FC236}">
              <a16:creationId xmlns:a16="http://schemas.microsoft.com/office/drawing/2014/main" id="{88FEB9C3-56BA-4985-95CC-85CDE34FFFE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1" name="TextBox 112">
          <a:extLst>
            <a:ext uri="{FF2B5EF4-FFF2-40B4-BE49-F238E27FC236}">
              <a16:creationId xmlns:a16="http://schemas.microsoft.com/office/drawing/2014/main" id="{B7819305-9454-431F-9CDC-B008DE6B23B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2" name="TextBox 111">
          <a:extLst>
            <a:ext uri="{FF2B5EF4-FFF2-40B4-BE49-F238E27FC236}">
              <a16:creationId xmlns:a16="http://schemas.microsoft.com/office/drawing/2014/main" id="{0C55B941-B78A-4C84-84DA-617AE33CA67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3" name="TextBox 112">
          <a:extLst>
            <a:ext uri="{FF2B5EF4-FFF2-40B4-BE49-F238E27FC236}">
              <a16:creationId xmlns:a16="http://schemas.microsoft.com/office/drawing/2014/main" id="{46FC0B03-FE58-4151-A0CA-92515A5E03F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4" name="TextBox 111">
          <a:extLst>
            <a:ext uri="{FF2B5EF4-FFF2-40B4-BE49-F238E27FC236}">
              <a16:creationId xmlns:a16="http://schemas.microsoft.com/office/drawing/2014/main" id="{30793F3A-A33F-4CA1-B4A3-0271355DAF0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5" name="TextBox 112">
          <a:extLst>
            <a:ext uri="{FF2B5EF4-FFF2-40B4-BE49-F238E27FC236}">
              <a16:creationId xmlns:a16="http://schemas.microsoft.com/office/drawing/2014/main" id="{E56F7BCF-09BB-49B6-83A4-1870594CD1E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6" name="TextBox 111">
          <a:extLst>
            <a:ext uri="{FF2B5EF4-FFF2-40B4-BE49-F238E27FC236}">
              <a16:creationId xmlns:a16="http://schemas.microsoft.com/office/drawing/2014/main" id="{37B6B913-CB0E-40B1-8ACB-C68C92A68CA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7" name="TextBox 112">
          <a:extLst>
            <a:ext uri="{FF2B5EF4-FFF2-40B4-BE49-F238E27FC236}">
              <a16:creationId xmlns:a16="http://schemas.microsoft.com/office/drawing/2014/main" id="{E4B82984-88BD-41D1-9108-3BC37003A58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8" name="TextBox 111">
          <a:extLst>
            <a:ext uri="{FF2B5EF4-FFF2-40B4-BE49-F238E27FC236}">
              <a16:creationId xmlns:a16="http://schemas.microsoft.com/office/drawing/2014/main" id="{53FC147B-86CC-41F4-864D-EBAA0B0A78B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89" name="TextBox 112">
          <a:extLst>
            <a:ext uri="{FF2B5EF4-FFF2-40B4-BE49-F238E27FC236}">
              <a16:creationId xmlns:a16="http://schemas.microsoft.com/office/drawing/2014/main" id="{907F1679-FCDD-4A29-AB0B-806FC2EFD1E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0" name="TextBox 111">
          <a:extLst>
            <a:ext uri="{FF2B5EF4-FFF2-40B4-BE49-F238E27FC236}">
              <a16:creationId xmlns:a16="http://schemas.microsoft.com/office/drawing/2014/main" id="{5F5A1E0A-5C34-4322-A69D-D791A11E9E1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1" name="TextBox 112">
          <a:extLst>
            <a:ext uri="{FF2B5EF4-FFF2-40B4-BE49-F238E27FC236}">
              <a16:creationId xmlns:a16="http://schemas.microsoft.com/office/drawing/2014/main" id="{5DF3176E-895E-41FF-A9D6-C6193370B76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2" name="TextBox 111">
          <a:extLst>
            <a:ext uri="{FF2B5EF4-FFF2-40B4-BE49-F238E27FC236}">
              <a16:creationId xmlns:a16="http://schemas.microsoft.com/office/drawing/2014/main" id="{80BDDE0A-8FD3-4F1A-81B0-F24A8F1B466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3" name="TextBox 112">
          <a:extLst>
            <a:ext uri="{FF2B5EF4-FFF2-40B4-BE49-F238E27FC236}">
              <a16:creationId xmlns:a16="http://schemas.microsoft.com/office/drawing/2014/main" id="{0D56717F-7039-405C-9294-0F888E6E0B4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4" name="TextBox 111">
          <a:extLst>
            <a:ext uri="{FF2B5EF4-FFF2-40B4-BE49-F238E27FC236}">
              <a16:creationId xmlns:a16="http://schemas.microsoft.com/office/drawing/2014/main" id="{C49A9FDF-4FC8-422D-8ACD-70B4DBEBD7D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5" name="TextBox 112">
          <a:extLst>
            <a:ext uri="{FF2B5EF4-FFF2-40B4-BE49-F238E27FC236}">
              <a16:creationId xmlns:a16="http://schemas.microsoft.com/office/drawing/2014/main" id="{529CF09B-661D-4D8C-9B0B-332EF19454B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6" name="TextBox 111">
          <a:extLst>
            <a:ext uri="{FF2B5EF4-FFF2-40B4-BE49-F238E27FC236}">
              <a16:creationId xmlns:a16="http://schemas.microsoft.com/office/drawing/2014/main" id="{540C63B8-7938-4045-8395-C8907056AE8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7" name="TextBox 112">
          <a:extLst>
            <a:ext uri="{FF2B5EF4-FFF2-40B4-BE49-F238E27FC236}">
              <a16:creationId xmlns:a16="http://schemas.microsoft.com/office/drawing/2014/main" id="{335EEC27-193C-46B2-B4B1-6CAFE86DA6F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8" name="TextBox 111">
          <a:extLst>
            <a:ext uri="{FF2B5EF4-FFF2-40B4-BE49-F238E27FC236}">
              <a16:creationId xmlns:a16="http://schemas.microsoft.com/office/drawing/2014/main" id="{2C28D028-1128-4FAE-97DA-7D7F9C1066F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599" name="TextBox 112">
          <a:extLst>
            <a:ext uri="{FF2B5EF4-FFF2-40B4-BE49-F238E27FC236}">
              <a16:creationId xmlns:a16="http://schemas.microsoft.com/office/drawing/2014/main" id="{D8CE59EF-5EE3-49D6-98EE-F0EB054CEE5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0" name="TextBox 111">
          <a:extLst>
            <a:ext uri="{FF2B5EF4-FFF2-40B4-BE49-F238E27FC236}">
              <a16:creationId xmlns:a16="http://schemas.microsoft.com/office/drawing/2014/main" id="{7D0A9ABA-3CF3-4543-8D84-49BE30892D8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1" name="TextBox 112">
          <a:extLst>
            <a:ext uri="{FF2B5EF4-FFF2-40B4-BE49-F238E27FC236}">
              <a16:creationId xmlns:a16="http://schemas.microsoft.com/office/drawing/2014/main" id="{2FDC8628-FA61-4FA2-B301-C9AE52F5DE7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2" name="TextBox 111">
          <a:extLst>
            <a:ext uri="{FF2B5EF4-FFF2-40B4-BE49-F238E27FC236}">
              <a16:creationId xmlns:a16="http://schemas.microsoft.com/office/drawing/2014/main" id="{AF0C9E19-BB80-4CEF-B20E-38F4BDB6EFA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3" name="TextBox 112">
          <a:extLst>
            <a:ext uri="{FF2B5EF4-FFF2-40B4-BE49-F238E27FC236}">
              <a16:creationId xmlns:a16="http://schemas.microsoft.com/office/drawing/2014/main" id="{EA2B2676-D039-4E32-85EB-BC4566A142D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4" name="TextBox 111">
          <a:extLst>
            <a:ext uri="{FF2B5EF4-FFF2-40B4-BE49-F238E27FC236}">
              <a16:creationId xmlns:a16="http://schemas.microsoft.com/office/drawing/2014/main" id="{9C327197-F3B9-45C1-90E4-98F8C45A2DF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5" name="TextBox 112">
          <a:extLst>
            <a:ext uri="{FF2B5EF4-FFF2-40B4-BE49-F238E27FC236}">
              <a16:creationId xmlns:a16="http://schemas.microsoft.com/office/drawing/2014/main" id="{1B1027FF-E3B0-42A8-B83A-22E051472A8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6" name="TextBox 111">
          <a:extLst>
            <a:ext uri="{FF2B5EF4-FFF2-40B4-BE49-F238E27FC236}">
              <a16:creationId xmlns:a16="http://schemas.microsoft.com/office/drawing/2014/main" id="{DF6B8FD0-4FEC-44EF-AE07-D0532B78120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7" name="TextBox 112">
          <a:extLst>
            <a:ext uri="{FF2B5EF4-FFF2-40B4-BE49-F238E27FC236}">
              <a16:creationId xmlns:a16="http://schemas.microsoft.com/office/drawing/2014/main" id="{ED1FF9AB-E90A-49D7-92A4-CDF58E9593B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8" name="TextBox 111">
          <a:extLst>
            <a:ext uri="{FF2B5EF4-FFF2-40B4-BE49-F238E27FC236}">
              <a16:creationId xmlns:a16="http://schemas.microsoft.com/office/drawing/2014/main" id="{3E7B89BB-DA13-4699-BFC4-A19EA405177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09" name="TextBox 112">
          <a:extLst>
            <a:ext uri="{FF2B5EF4-FFF2-40B4-BE49-F238E27FC236}">
              <a16:creationId xmlns:a16="http://schemas.microsoft.com/office/drawing/2014/main" id="{1A80A172-1F80-4EEC-B8BF-FE793C20568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0" name="TextBox 111">
          <a:extLst>
            <a:ext uri="{FF2B5EF4-FFF2-40B4-BE49-F238E27FC236}">
              <a16:creationId xmlns:a16="http://schemas.microsoft.com/office/drawing/2014/main" id="{CA94FA70-8FDE-4ADC-900B-3119033C9F0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1" name="TextBox 112">
          <a:extLst>
            <a:ext uri="{FF2B5EF4-FFF2-40B4-BE49-F238E27FC236}">
              <a16:creationId xmlns:a16="http://schemas.microsoft.com/office/drawing/2014/main" id="{C08C9B85-49C9-464C-8580-E9E0414ADD6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2" name="TextBox 111">
          <a:extLst>
            <a:ext uri="{FF2B5EF4-FFF2-40B4-BE49-F238E27FC236}">
              <a16:creationId xmlns:a16="http://schemas.microsoft.com/office/drawing/2014/main" id="{AC1A3125-48D6-44C3-9A4D-300ADD4C81F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3" name="TextBox 112">
          <a:extLst>
            <a:ext uri="{FF2B5EF4-FFF2-40B4-BE49-F238E27FC236}">
              <a16:creationId xmlns:a16="http://schemas.microsoft.com/office/drawing/2014/main" id="{4ABCA0E3-9F9B-4BAC-A534-EBDC173C66E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4" name="TextBox 111">
          <a:extLst>
            <a:ext uri="{FF2B5EF4-FFF2-40B4-BE49-F238E27FC236}">
              <a16:creationId xmlns:a16="http://schemas.microsoft.com/office/drawing/2014/main" id="{2936F39E-1533-4C3B-9211-82ED6039EFE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5" name="TextBox 112">
          <a:extLst>
            <a:ext uri="{FF2B5EF4-FFF2-40B4-BE49-F238E27FC236}">
              <a16:creationId xmlns:a16="http://schemas.microsoft.com/office/drawing/2014/main" id="{AF5CA005-2702-471E-A529-6E9ACC7E56B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6" name="TextBox 111">
          <a:extLst>
            <a:ext uri="{FF2B5EF4-FFF2-40B4-BE49-F238E27FC236}">
              <a16:creationId xmlns:a16="http://schemas.microsoft.com/office/drawing/2014/main" id="{664CD1EE-99E0-4DD4-AC19-EE133BEBE01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7" name="TextBox 112">
          <a:extLst>
            <a:ext uri="{FF2B5EF4-FFF2-40B4-BE49-F238E27FC236}">
              <a16:creationId xmlns:a16="http://schemas.microsoft.com/office/drawing/2014/main" id="{852DED6F-535B-4C5E-B7EE-A0345DBC71E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8" name="TextBox 111">
          <a:extLst>
            <a:ext uri="{FF2B5EF4-FFF2-40B4-BE49-F238E27FC236}">
              <a16:creationId xmlns:a16="http://schemas.microsoft.com/office/drawing/2014/main" id="{5C83297A-297F-4760-A623-00E4BF696D5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19" name="TextBox 112">
          <a:extLst>
            <a:ext uri="{FF2B5EF4-FFF2-40B4-BE49-F238E27FC236}">
              <a16:creationId xmlns:a16="http://schemas.microsoft.com/office/drawing/2014/main" id="{AF2B6F52-0E9A-4ECE-99CF-65895FC0130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0" name="TextBox 111">
          <a:extLst>
            <a:ext uri="{FF2B5EF4-FFF2-40B4-BE49-F238E27FC236}">
              <a16:creationId xmlns:a16="http://schemas.microsoft.com/office/drawing/2014/main" id="{85AC0C38-82F2-4EBA-ADAC-859DB1183ED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1" name="TextBox 112">
          <a:extLst>
            <a:ext uri="{FF2B5EF4-FFF2-40B4-BE49-F238E27FC236}">
              <a16:creationId xmlns:a16="http://schemas.microsoft.com/office/drawing/2014/main" id="{FC1FCCBA-AE84-4427-A9AB-0B06D9DA4C5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2" name="TextBox 111">
          <a:extLst>
            <a:ext uri="{FF2B5EF4-FFF2-40B4-BE49-F238E27FC236}">
              <a16:creationId xmlns:a16="http://schemas.microsoft.com/office/drawing/2014/main" id="{927B8D87-A160-496A-944D-637F1C9BE48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3" name="TextBox 112">
          <a:extLst>
            <a:ext uri="{FF2B5EF4-FFF2-40B4-BE49-F238E27FC236}">
              <a16:creationId xmlns:a16="http://schemas.microsoft.com/office/drawing/2014/main" id="{1A02CA12-59E7-4353-99B7-FE522A80F5F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4" name="TextBox 111">
          <a:extLst>
            <a:ext uri="{FF2B5EF4-FFF2-40B4-BE49-F238E27FC236}">
              <a16:creationId xmlns:a16="http://schemas.microsoft.com/office/drawing/2014/main" id="{C9463CF1-448F-4ACD-93DA-28E50B39F3C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5" name="TextBox 112">
          <a:extLst>
            <a:ext uri="{FF2B5EF4-FFF2-40B4-BE49-F238E27FC236}">
              <a16:creationId xmlns:a16="http://schemas.microsoft.com/office/drawing/2014/main" id="{038299E1-9B18-4259-9625-FE9CFC45536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6" name="TextBox 111">
          <a:extLst>
            <a:ext uri="{FF2B5EF4-FFF2-40B4-BE49-F238E27FC236}">
              <a16:creationId xmlns:a16="http://schemas.microsoft.com/office/drawing/2014/main" id="{F3EFDC1E-13BA-458B-B0EE-D4D6D8DFA5D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7" name="TextBox 112">
          <a:extLst>
            <a:ext uri="{FF2B5EF4-FFF2-40B4-BE49-F238E27FC236}">
              <a16:creationId xmlns:a16="http://schemas.microsoft.com/office/drawing/2014/main" id="{1914B5AC-7B84-47F0-8D3A-B8ABA7E44BD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8" name="TextBox 111">
          <a:extLst>
            <a:ext uri="{FF2B5EF4-FFF2-40B4-BE49-F238E27FC236}">
              <a16:creationId xmlns:a16="http://schemas.microsoft.com/office/drawing/2014/main" id="{6C34BF81-DF41-480E-9B80-D2382DF9429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29" name="TextBox 112">
          <a:extLst>
            <a:ext uri="{FF2B5EF4-FFF2-40B4-BE49-F238E27FC236}">
              <a16:creationId xmlns:a16="http://schemas.microsoft.com/office/drawing/2014/main" id="{D9A997B8-2AFC-46E3-BE79-601C6E6C21A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0" name="TextBox 111">
          <a:extLst>
            <a:ext uri="{FF2B5EF4-FFF2-40B4-BE49-F238E27FC236}">
              <a16:creationId xmlns:a16="http://schemas.microsoft.com/office/drawing/2014/main" id="{366CFDFD-1129-480E-8B85-2A306E3CDED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1" name="TextBox 112">
          <a:extLst>
            <a:ext uri="{FF2B5EF4-FFF2-40B4-BE49-F238E27FC236}">
              <a16:creationId xmlns:a16="http://schemas.microsoft.com/office/drawing/2014/main" id="{826D56F8-03FC-4A01-80D0-9C6661BCB12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2" name="TextBox 111">
          <a:extLst>
            <a:ext uri="{FF2B5EF4-FFF2-40B4-BE49-F238E27FC236}">
              <a16:creationId xmlns:a16="http://schemas.microsoft.com/office/drawing/2014/main" id="{8B86603C-6CD1-44CD-AEAB-816D2CBC731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3" name="TextBox 112">
          <a:extLst>
            <a:ext uri="{FF2B5EF4-FFF2-40B4-BE49-F238E27FC236}">
              <a16:creationId xmlns:a16="http://schemas.microsoft.com/office/drawing/2014/main" id="{704CD4E0-4A1C-46E1-86E4-3E622C50C0F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4" name="TextBox 111">
          <a:extLst>
            <a:ext uri="{FF2B5EF4-FFF2-40B4-BE49-F238E27FC236}">
              <a16:creationId xmlns:a16="http://schemas.microsoft.com/office/drawing/2014/main" id="{523B6773-1D5E-490B-9FF5-057384B6053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5" name="TextBox 112">
          <a:extLst>
            <a:ext uri="{FF2B5EF4-FFF2-40B4-BE49-F238E27FC236}">
              <a16:creationId xmlns:a16="http://schemas.microsoft.com/office/drawing/2014/main" id="{BD24252E-C415-4508-A09D-3ADA4E53DF6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6" name="TextBox 111">
          <a:extLst>
            <a:ext uri="{FF2B5EF4-FFF2-40B4-BE49-F238E27FC236}">
              <a16:creationId xmlns:a16="http://schemas.microsoft.com/office/drawing/2014/main" id="{87E82543-A86F-46AD-869E-871E3FAFB8B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7" name="TextBox 112">
          <a:extLst>
            <a:ext uri="{FF2B5EF4-FFF2-40B4-BE49-F238E27FC236}">
              <a16:creationId xmlns:a16="http://schemas.microsoft.com/office/drawing/2014/main" id="{8099E8BC-17C5-42DE-BD86-89215C7351B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8" name="TextBox 111">
          <a:extLst>
            <a:ext uri="{FF2B5EF4-FFF2-40B4-BE49-F238E27FC236}">
              <a16:creationId xmlns:a16="http://schemas.microsoft.com/office/drawing/2014/main" id="{508D704E-F0F0-4B0F-97BE-84525F7A464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39" name="TextBox 112">
          <a:extLst>
            <a:ext uri="{FF2B5EF4-FFF2-40B4-BE49-F238E27FC236}">
              <a16:creationId xmlns:a16="http://schemas.microsoft.com/office/drawing/2014/main" id="{C564D339-2474-468B-89D0-21BE996898C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0" name="TextBox 111">
          <a:extLst>
            <a:ext uri="{FF2B5EF4-FFF2-40B4-BE49-F238E27FC236}">
              <a16:creationId xmlns:a16="http://schemas.microsoft.com/office/drawing/2014/main" id="{28B28E1C-63EC-4C4D-83A5-AC28DC56B72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1" name="TextBox 112">
          <a:extLst>
            <a:ext uri="{FF2B5EF4-FFF2-40B4-BE49-F238E27FC236}">
              <a16:creationId xmlns:a16="http://schemas.microsoft.com/office/drawing/2014/main" id="{466C20B2-938E-453A-82DC-E7CCED50A30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2" name="TextBox 111">
          <a:extLst>
            <a:ext uri="{FF2B5EF4-FFF2-40B4-BE49-F238E27FC236}">
              <a16:creationId xmlns:a16="http://schemas.microsoft.com/office/drawing/2014/main" id="{FF42A2AB-BE0C-499F-BB69-E2242D6C3C8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3" name="TextBox 112">
          <a:extLst>
            <a:ext uri="{FF2B5EF4-FFF2-40B4-BE49-F238E27FC236}">
              <a16:creationId xmlns:a16="http://schemas.microsoft.com/office/drawing/2014/main" id="{293AE7BA-9D1A-4A6D-95EF-A68CBD3E345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4" name="TextBox 111">
          <a:extLst>
            <a:ext uri="{FF2B5EF4-FFF2-40B4-BE49-F238E27FC236}">
              <a16:creationId xmlns:a16="http://schemas.microsoft.com/office/drawing/2014/main" id="{606D1CDF-218E-4E07-A998-6DF55A4BC7C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5" name="TextBox 112">
          <a:extLst>
            <a:ext uri="{FF2B5EF4-FFF2-40B4-BE49-F238E27FC236}">
              <a16:creationId xmlns:a16="http://schemas.microsoft.com/office/drawing/2014/main" id="{B4F56E1C-6BD1-4F43-9369-BD9D6B43D8F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6" name="TextBox 111">
          <a:extLst>
            <a:ext uri="{FF2B5EF4-FFF2-40B4-BE49-F238E27FC236}">
              <a16:creationId xmlns:a16="http://schemas.microsoft.com/office/drawing/2014/main" id="{37F3A814-C512-402A-B4EA-9F34D8AD024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7" name="TextBox 112">
          <a:extLst>
            <a:ext uri="{FF2B5EF4-FFF2-40B4-BE49-F238E27FC236}">
              <a16:creationId xmlns:a16="http://schemas.microsoft.com/office/drawing/2014/main" id="{2DD5D3B0-C61C-4F93-B6B2-8B0ED433D9A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8" name="TextBox 111">
          <a:extLst>
            <a:ext uri="{FF2B5EF4-FFF2-40B4-BE49-F238E27FC236}">
              <a16:creationId xmlns:a16="http://schemas.microsoft.com/office/drawing/2014/main" id="{45FC6DD5-6936-4C13-8EA6-F9D4A42130F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49" name="TextBox 112">
          <a:extLst>
            <a:ext uri="{FF2B5EF4-FFF2-40B4-BE49-F238E27FC236}">
              <a16:creationId xmlns:a16="http://schemas.microsoft.com/office/drawing/2014/main" id="{F3F14740-F3CD-43BD-9504-67F2066B606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0" name="TextBox 111">
          <a:extLst>
            <a:ext uri="{FF2B5EF4-FFF2-40B4-BE49-F238E27FC236}">
              <a16:creationId xmlns:a16="http://schemas.microsoft.com/office/drawing/2014/main" id="{3FE21E74-A34A-4291-8DF4-0691CF382AA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1" name="TextBox 112">
          <a:extLst>
            <a:ext uri="{FF2B5EF4-FFF2-40B4-BE49-F238E27FC236}">
              <a16:creationId xmlns:a16="http://schemas.microsoft.com/office/drawing/2014/main" id="{935F4309-F034-4FBB-973E-0FF4C7451B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2" name="TextBox 111">
          <a:extLst>
            <a:ext uri="{FF2B5EF4-FFF2-40B4-BE49-F238E27FC236}">
              <a16:creationId xmlns:a16="http://schemas.microsoft.com/office/drawing/2014/main" id="{DA5D1C55-C4A5-4D4B-8146-1BD7536B415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3" name="TextBox 112">
          <a:extLst>
            <a:ext uri="{FF2B5EF4-FFF2-40B4-BE49-F238E27FC236}">
              <a16:creationId xmlns:a16="http://schemas.microsoft.com/office/drawing/2014/main" id="{6A6C6C2F-2613-46DA-AB7D-CAB7F3EAC20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4" name="TextBox 111">
          <a:extLst>
            <a:ext uri="{FF2B5EF4-FFF2-40B4-BE49-F238E27FC236}">
              <a16:creationId xmlns:a16="http://schemas.microsoft.com/office/drawing/2014/main" id="{E3FEBD5E-0E48-44B7-84DD-954613945C7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5" name="TextBox 112">
          <a:extLst>
            <a:ext uri="{FF2B5EF4-FFF2-40B4-BE49-F238E27FC236}">
              <a16:creationId xmlns:a16="http://schemas.microsoft.com/office/drawing/2014/main" id="{D8E40926-D98F-43A4-9550-309B10724C5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6" name="TextBox 111">
          <a:extLst>
            <a:ext uri="{FF2B5EF4-FFF2-40B4-BE49-F238E27FC236}">
              <a16:creationId xmlns:a16="http://schemas.microsoft.com/office/drawing/2014/main" id="{125C19A2-C72E-4C5E-A777-9E970D2E08F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7" name="TextBox 112">
          <a:extLst>
            <a:ext uri="{FF2B5EF4-FFF2-40B4-BE49-F238E27FC236}">
              <a16:creationId xmlns:a16="http://schemas.microsoft.com/office/drawing/2014/main" id="{D230BF6C-9E6D-4CF8-8AB0-F8BDE8AE869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8" name="TextBox 111">
          <a:extLst>
            <a:ext uri="{FF2B5EF4-FFF2-40B4-BE49-F238E27FC236}">
              <a16:creationId xmlns:a16="http://schemas.microsoft.com/office/drawing/2014/main" id="{5DBBEB2D-C60D-4140-90B4-1215195DA00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59" name="TextBox 112">
          <a:extLst>
            <a:ext uri="{FF2B5EF4-FFF2-40B4-BE49-F238E27FC236}">
              <a16:creationId xmlns:a16="http://schemas.microsoft.com/office/drawing/2014/main" id="{C3716FAD-0BE7-49C6-8807-CFEFA774876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0" name="TextBox 111">
          <a:extLst>
            <a:ext uri="{FF2B5EF4-FFF2-40B4-BE49-F238E27FC236}">
              <a16:creationId xmlns:a16="http://schemas.microsoft.com/office/drawing/2014/main" id="{6A9CC62D-23C2-47C0-89E3-8730959FA7C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1" name="TextBox 112">
          <a:extLst>
            <a:ext uri="{FF2B5EF4-FFF2-40B4-BE49-F238E27FC236}">
              <a16:creationId xmlns:a16="http://schemas.microsoft.com/office/drawing/2014/main" id="{03F81388-8F51-4047-8A23-6181AAC67CF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2" name="TextBox 111">
          <a:extLst>
            <a:ext uri="{FF2B5EF4-FFF2-40B4-BE49-F238E27FC236}">
              <a16:creationId xmlns:a16="http://schemas.microsoft.com/office/drawing/2014/main" id="{7A0571F9-2FF8-4205-86D7-CA6616AE809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3" name="TextBox 112">
          <a:extLst>
            <a:ext uri="{FF2B5EF4-FFF2-40B4-BE49-F238E27FC236}">
              <a16:creationId xmlns:a16="http://schemas.microsoft.com/office/drawing/2014/main" id="{4E767E3E-0CCE-464B-A8DD-F31B8E0E1AB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4" name="TextBox 111">
          <a:extLst>
            <a:ext uri="{FF2B5EF4-FFF2-40B4-BE49-F238E27FC236}">
              <a16:creationId xmlns:a16="http://schemas.microsoft.com/office/drawing/2014/main" id="{7364556A-A7CE-4DA7-A7D1-618FC777E7F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5" name="TextBox 112">
          <a:extLst>
            <a:ext uri="{FF2B5EF4-FFF2-40B4-BE49-F238E27FC236}">
              <a16:creationId xmlns:a16="http://schemas.microsoft.com/office/drawing/2014/main" id="{A47F6B23-5541-4370-A58D-427249570B7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6" name="TextBox 111">
          <a:extLst>
            <a:ext uri="{FF2B5EF4-FFF2-40B4-BE49-F238E27FC236}">
              <a16:creationId xmlns:a16="http://schemas.microsoft.com/office/drawing/2014/main" id="{807B3040-9828-4854-A4D4-B4A50BBC400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7" name="TextBox 112">
          <a:extLst>
            <a:ext uri="{FF2B5EF4-FFF2-40B4-BE49-F238E27FC236}">
              <a16:creationId xmlns:a16="http://schemas.microsoft.com/office/drawing/2014/main" id="{3205E617-1B92-4AD2-A51B-A85D6435EFA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8" name="TextBox 111">
          <a:extLst>
            <a:ext uri="{FF2B5EF4-FFF2-40B4-BE49-F238E27FC236}">
              <a16:creationId xmlns:a16="http://schemas.microsoft.com/office/drawing/2014/main" id="{1AC31FD2-B141-4A77-A6DE-72E09BE2939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69" name="TextBox 112">
          <a:extLst>
            <a:ext uri="{FF2B5EF4-FFF2-40B4-BE49-F238E27FC236}">
              <a16:creationId xmlns:a16="http://schemas.microsoft.com/office/drawing/2014/main" id="{FC04D2F1-E1F1-43DD-AC60-22EC4771FBF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0" name="TextBox 111">
          <a:extLst>
            <a:ext uri="{FF2B5EF4-FFF2-40B4-BE49-F238E27FC236}">
              <a16:creationId xmlns:a16="http://schemas.microsoft.com/office/drawing/2014/main" id="{970B8CE9-8CBD-467F-B805-0C941A7C415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1" name="TextBox 112">
          <a:extLst>
            <a:ext uri="{FF2B5EF4-FFF2-40B4-BE49-F238E27FC236}">
              <a16:creationId xmlns:a16="http://schemas.microsoft.com/office/drawing/2014/main" id="{3A2C4074-9C60-4E7A-ACE2-0AABCB73197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2" name="TextBox 111">
          <a:extLst>
            <a:ext uri="{FF2B5EF4-FFF2-40B4-BE49-F238E27FC236}">
              <a16:creationId xmlns:a16="http://schemas.microsoft.com/office/drawing/2014/main" id="{BBA73B35-B8AB-4EE2-A4CA-8BDEE6FD6EA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3" name="TextBox 112">
          <a:extLst>
            <a:ext uri="{FF2B5EF4-FFF2-40B4-BE49-F238E27FC236}">
              <a16:creationId xmlns:a16="http://schemas.microsoft.com/office/drawing/2014/main" id="{509DF874-A5BA-42A5-A31C-EA6BC3DCAE9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4" name="TextBox 111">
          <a:extLst>
            <a:ext uri="{FF2B5EF4-FFF2-40B4-BE49-F238E27FC236}">
              <a16:creationId xmlns:a16="http://schemas.microsoft.com/office/drawing/2014/main" id="{DC520CD4-2752-4A98-9BF4-4D0D0A297CE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5" name="TextBox 112">
          <a:extLst>
            <a:ext uri="{FF2B5EF4-FFF2-40B4-BE49-F238E27FC236}">
              <a16:creationId xmlns:a16="http://schemas.microsoft.com/office/drawing/2014/main" id="{45DF8664-137B-4138-87F1-F3594D292FB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6" name="TextBox 111">
          <a:extLst>
            <a:ext uri="{FF2B5EF4-FFF2-40B4-BE49-F238E27FC236}">
              <a16:creationId xmlns:a16="http://schemas.microsoft.com/office/drawing/2014/main" id="{2FDBDE54-A1AA-406D-9090-492199E1F19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7" name="TextBox 112">
          <a:extLst>
            <a:ext uri="{FF2B5EF4-FFF2-40B4-BE49-F238E27FC236}">
              <a16:creationId xmlns:a16="http://schemas.microsoft.com/office/drawing/2014/main" id="{D929DF40-46A8-4A5A-B875-89E591D1A69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8" name="TextBox 111">
          <a:extLst>
            <a:ext uri="{FF2B5EF4-FFF2-40B4-BE49-F238E27FC236}">
              <a16:creationId xmlns:a16="http://schemas.microsoft.com/office/drawing/2014/main" id="{8B10E07A-4087-4945-8D50-4E5386C911B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79" name="TextBox 112">
          <a:extLst>
            <a:ext uri="{FF2B5EF4-FFF2-40B4-BE49-F238E27FC236}">
              <a16:creationId xmlns:a16="http://schemas.microsoft.com/office/drawing/2014/main" id="{1BF15F17-29F1-4E77-8243-6A9D8F58F90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0" name="TextBox 111">
          <a:extLst>
            <a:ext uri="{FF2B5EF4-FFF2-40B4-BE49-F238E27FC236}">
              <a16:creationId xmlns:a16="http://schemas.microsoft.com/office/drawing/2014/main" id="{B31051AB-5653-4AD5-B1F7-9C04E0CF174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1" name="TextBox 112">
          <a:extLst>
            <a:ext uri="{FF2B5EF4-FFF2-40B4-BE49-F238E27FC236}">
              <a16:creationId xmlns:a16="http://schemas.microsoft.com/office/drawing/2014/main" id="{2C61A14F-BF95-46E4-A740-DB8B8EFB1C9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2" name="TextBox 111">
          <a:extLst>
            <a:ext uri="{FF2B5EF4-FFF2-40B4-BE49-F238E27FC236}">
              <a16:creationId xmlns:a16="http://schemas.microsoft.com/office/drawing/2014/main" id="{FC525BFB-CEE2-48F8-85B1-627854B4A3A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3" name="TextBox 112">
          <a:extLst>
            <a:ext uri="{FF2B5EF4-FFF2-40B4-BE49-F238E27FC236}">
              <a16:creationId xmlns:a16="http://schemas.microsoft.com/office/drawing/2014/main" id="{09B2D2DB-E46B-4EF7-A0A8-66391FE1DA9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4" name="TextBox 111">
          <a:extLst>
            <a:ext uri="{FF2B5EF4-FFF2-40B4-BE49-F238E27FC236}">
              <a16:creationId xmlns:a16="http://schemas.microsoft.com/office/drawing/2014/main" id="{4D9F2055-AA01-4F87-BCE0-C66D9786E85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5" name="TextBox 112">
          <a:extLst>
            <a:ext uri="{FF2B5EF4-FFF2-40B4-BE49-F238E27FC236}">
              <a16:creationId xmlns:a16="http://schemas.microsoft.com/office/drawing/2014/main" id="{D99A9FC4-51AB-421D-A857-99F41EEAA1C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6" name="TextBox 111">
          <a:extLst>
            <a:ext uri="{FF2B5EF4-FFF2-40B4-BE49-F238E27FC236}">
              <a16:creationId xmlns:a16="http://schemas.microsoft.com/office/drawing/2014/main" id="{F8BBEAA4-878A-481F-A78D-275D993CB95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7" name="TextBox 112">
          <a:extLst>
            <a:ext uri="{FF2B5EF4-FFF2-40B4-BE49-F238E27FC236}">
              <a16:creationId xmlns:a16="http://schemas.microsoft.com/office/drawing/2014/main" id="{2F61B3C1-06F4-40C3-9AA3-7F7923E04F6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8" name="TextBox 111">
          <a:extLst>
            <a:ext uri="{FF2B5EF4-FFF2-40B4-BE49-F238E27FC236}">
              <a16:creationId xmlns:a16="http://schemas.microsoft.com/office/drawing/2014/main" id="{007DE22A-9CE7-40F8-9908-FDFEEAC2575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89" name="TextBox 112">
          <a:extLst>
            <a:ext uri="{FF2B5EF4-FFF2-40B4-BE49-F238E27FC236}">
              <a16:creationId xmlns:a16="http://schemas.microsoft.com/office/drawing/2014/main" id="{38398E01-7636-48F3-B404-AF0E7DDE093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0" name="TextBox 111">
          <a:extLst>
            <a:ext uri="{FF2B5EF4-FFF2-40B4-BE49-F238E27FC236}">
              <a16:creationId xmlns:a16="http://schemas.microsoft.com/office/drawing/2014/main" id="{ACBD8D18-35E5-422E-880E-3A53BC699F2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1" name="TextBox 112">
          <a:extLst>
            <a:ext uri="{FF2B5EF4-FFF2-40B4-BE49-F238E27FC236}">
              <a16:creationId xmlns:a16="http://schemas.microsoft.com/office/drawing/2014/main" id="{94686191-37F3-4D97-98DA-8BF4BD7D010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2" name="TextBox 111">
          <a:extLst>
            <a:ext uri="{FF2B5EF4-FFF2-40B4-BE49-F238E27FC236}">
              <a16:creationId xmlns:a16="http://schemas.microsoft.com/office/drawing/2014/main" id="{C0F5BBDD-0224-45B9-A53B-834061D9769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3" name="TextBox 112">
          <a:extLst>
            <a:ext uri="{FF2B5EF4-FFF2-40B4-BE49-F238E27FC236}">
              <a16:creationId xmlns:a16="http://schemas.microsoft.com/office/drawing/2014/main" id="{5E1B21E3-348B-4BC3-8FFC-41007E10BA4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4" name="TextBox 111">
          <a:extLst>
            <a:ext uri="{FF2B5EF4-FFF2-40B4-BE49-F238E27FC236}">
              <a16:creationId xmlns:a16="http://schemas.microsoft.com/office/drawing/2014/main" id="{E1652773-71D0-41C1-92DE-FFF59141F7F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5" name="TextBox 112">
          <a:extLst>
            <a:ext uri="{FF2B5EF4-FFF2-40B4-BE49-F238E27FC236}">
              <a16:creationId xmlns:a16="http://schemas.microsoft.com/office/drawing/2014/main" id="{7048A764-8903-41B4-BE28-191E7A6D89F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6" name="TextBox 111">
          <a:extLst>
            <a:ext uri="{FF2B5EF4-FFF2-40B4-BE49-F238E27FC236}">
              <a16:creationId xmlns:a16="http://schemas.microsoft.com/office/drawing/2014/main" id="{D44EED65-4F29-44FE-8AB8-FF3CB4F789B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7" name="TextBox 112">
          <a:extLst>
            <a:ext uri="{FF2B5EF4-FFF2-40B4-BE49-F238E27FC236}">
              <a16:creationId xmlns:a16="http://schemas.microsoft.com/office/drawing/2014/main" id="{DA002418-31B7-444B-AA35-8944221678F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8" name="TextBox 111">
          <a:extLst>
            <a:ext uri="{FF2B5EF4-FFF2-40B4-BE49-F238E27FC236}">
              <a16:creationId xmlns:a16="http://schemas.microsoft.com/office/drawing/2014/main" id="{FF2C5601-0CE0-4DA0-A32D-260F556D93A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699" name="TextBox 112">
          <a:extLst>
            <a:ext uri="{FF2B5EF4-FFF2-40B4-BE49-F238E27FC236}">
              <a16:creationId xmlns:a16="http://schemas.microsoft.com/office/drawing/2014/main" id="{151E0ABF-8D30-4C5B-A29D-623EF065A0F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0" name="TextBox 111">
          <a:extLst>
            <a:ext uri="{FF2B5EF4-FFF2-40B4-BE49-F238E27FC236}">
              <a16:creationId xmlns:a16="http://schemas.microsoft.com/office/drawing/2014/main" id="{4C6063C8-A6B8-4561-80B5-50A91EE561B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1" name="TextBox 112">
          <a:extLst>
            <a:ext uri="{FF2B5EF4-FFF2-40B4-BE49-F238E27FC236}">
              <a16:creationId xmlns:a16="http://schemas.microsoft.com/office/drawing/2014/main" id="{38C2C358-59B2-4BC0-BA23-C775A0950A7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2" name="TextBox 111">
          <a:extLst>
            <a:ext uri="{FF2B5EF4-FFF2-40B4-BE49-F238E27FC236}">
              <a16:creationId xmlns:a16="http://schemas.microsoft.com/office/drawing/2014/main" id="{89DDC7ED-FA84-4FF3-8591-0C4CC14E7C8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3" name="TextBox 112">
          <a:extLst>
            <a:ext uri="{FF2B5EF4-FFF2-40B4-BE49-F238E27FC236}">
              <a16:creationId xmlns:a16="http://schemas.microsoft.com/office/drawing/2014/main" id="{26B3C092-28EE-4085-A414-3A10A0E51DC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4" name="TextBox 111">
          <a:extLst>
            <a:ext uri="{FF2B5EF4-FFF2-40B4-BE49-F238E27FC236}">
              <a16:creationId xmlns:a16="http://schemas.microsoft.com/office/drawing/2014/main" id="{8BF2BABF-BC8B-4C03-BB03-AACAE039017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5" name="TextBox 112">
          <a:extLst>
            <a:ext uri="{FF2B5EF4-FFF2-40B4-BE49-F238E27FC236}">
              <a16:creationId xmlns:a16="http://schemas.microsoft.com/office/drawing/2014/main" id="{E9978BD3-1D59-4D6F-8662-9D5559627EE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6" name="TextBox 111">
          <a:extLst>
            <a:ext uri="{FF2B5EF4-FFF2-40B4-BE49-F238E27FC236}">
              <a16:creationId xmlns:a16="http://schemas.microsoft.com/office/drawing/2014/main" id="{967C756D-53AD-4487-9BAB-B0CC99C31DD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7" name="TextBox 112">
          <a:extLst>
            <a:ext uri="{FF2B5EF4-FFF2-40B4-BE49-F238E27FC236}">
              <a16:creationId xmlns:a16="http://schemas.microsoft.com/office/drawing/2014/main" id="{5A1F1346-B24E-453A-956B-BA40ED98339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8" name="TextBox 111">
          <a:extLst>
            <a:ext uri="{FF2B5EF4-FFF2-40B4-BE49-F238E27FC236}">
              <a16:creationId xmlns:a16="http://schemas.microsoft.com/office/drawing/2014/main" id="{B8CBEA4E-E229-4CC6-AB02-A827D4B606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09" name="TextBox 112">
          <a:extLst>
            <a:ext uri="{FF2B5EF4-FFF2-40B4-BE49-F238E27FC236}">
              <a16:creationId xmlns:a16="http://schemas.microsoft.com/office/drawing/2014/main" id="{17177A50-228A-4026-A8AD-1C47572FBD5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0" name="TextBox 111">
          <a:extLst>
            <a:ext uri="{FF2B5EF4-FFF2-40B4-BE49-F238E27FC236}">
              <a16:creationId xmlns:a16="http://schemas.microsoft.com/office/drawing/2014/main" id="{C69A219A-69B0-49D2-8E71-5BFAF9F648D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1" name="TextBox 112">
          <a:extLst>
            <a:ext uri="{FF2B5EF4-FFF2-40B4-BE49-F238E27FC236}">
              <a16:creationId xmlns:a16="http://schemas.microsoft.com/office/drawing/2014/main" id="{EB9009D1-E7F2-46ED-A970-E17FBAAF55C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2" name="TextBox 111">
          <a:extLst>
            <a:ext uri="{FF2B5EF4-FFF2-40B4-BE49-F238E27FC236}">
              <a16:creationId xmlns:a16="http://schemas.microsoft.com/office/drawing/2014/main" id="{E44E92FF-1942-4FA4-84D4-6CA13B3E70D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3" name="TextBox 112">
          <a:extLst>
            <a:ext uri="{FF2B5EF4-FFF2-40B4-BE49-F238E27FC236}">
              <a16:creationId xmlns:a16="http://schemas.microsoft.com/office/drawing/2014/main" id="{68D7B9AE-8CC6-4E2F-B2C5-8781194596D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4" name="TextBox 111">
          <a:extLst>
            <a:ext uri="{FF2B5EF4-FFF2-40B4-BE49-F238E27FC236}">
              <a16:creationId xmlns:a16="http://schemas.microsoft.com/office/drawing/2014/main" id="{47A26C19-733E-440F-8E8D-E56F3A28D27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5" name="TextBox 112">
          <a:extLst>
            <a:ext uri="{FF2B5EF4-FFF2-40B4-BE49-F238E27FC236}">
              <a16:creationId xmlns:a16="http://schemas.microsoft.com/office/drawing/2014/main" id="{1565FAAF-7633-4D9A-8B49-78C3796B9DA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6" name="TextBox 111">
          <a:extLst>
            <a:ext uri="{FF2B5EF4-FFF2-40B4-BE49-F238E27FC236}">
              <a16:creationId xmlns:a16="http://schemas.microsoft.com/office/drawing/2014/main" id="{2E3586FF-9359-4C7D-A4E1-ACD5D5247C9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7" name="TextBox 112">
          <a:extLst>
            <a:ext uri="{FF2B5EF4-FFF2-40B4-BE49-F238E27FC236}">
              <a16:creationId xmlns:a16="http://schemas.microsoft.com/office/drawing/2014/main" id="{01B6B24C-8DA3-49CD-848E-52C2E89E419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8" name="TextBox 111">
          <a:extLst>
            <a:ext uri="{FF2B5EF4-FFF2-40B4-BE49-F238E27FC236}">
              <a16:creationId xmlns:a16="http://schemas.microsoft.com/office/drawing/2014/main" id="{649342C3-FD79-4D44-9FBF-E8D18EA0D08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19" name="TextBox 112">
          <a:extLst>
            <a:ext uri="{FF2B5EF4-FFF2-40B4-BE49-F238E27FC236}">
              <a16:creationId xmlns:a16="http://schemas.microsoft.com/office/drawing/2014/main" id="{57D99DE7-4B28-42FF-8D54-814840B0A75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0" name="TextBox 111">
          <a:extLst>
            <a:ext uri="{FF2B5EF4-FFF2-40B4-BE49-F238E27FC236}">
              <a16:creationId xmlns:a16="http://schemas.microsoft.com/office/drawing/2014/main" id="{13E6006B-3FBA-43C6-BBD8-8130EBDB92B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1" name="TextBox 112">
          <a:extLst>
            <a:ext uri="{FF2B5EF4-FFF2-40B4-BE49-F238E27FC236}">
              <a16:creationId xmlns:a16="http://schemas.microsoft.com/office/drawing/2014/main" id="{DC8F0E8D-36D5-4507-AC45-E9A29F83495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2" name="TextBox 111">
          <a:extLst>
            <a:ext uri="{FF2B5EF4-FFF2-40B4-BE49-F238E27FC236}">
              <a16:creationId xmlns:a16="http://schemas.microsoft.com/office/drawing/2014/main" id="{1F664AC0-246B-443B-812A-F20A37B5CF3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3" name="TextBox 112">
          <a:extLst>
            <a:ext uri="{FF2B5EF4-FFF2-40B4-BE49-F238E27FC236}">
              <a16:creationId xmlns:a16="http://schemas.microsoft.com/office/drawing/2014/main" id="{46252515-7432-4D7C-892A-4B03523ACFC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4" name="TextBox 111">
          <a:extLst>
            <a:ext uri="{FF2B5EF4-FFF2-40B4-BE49-F238E27FC236}">
              <a16:creationId xmlns:a16="http://schemas.microsoft.com/office/drawing/2014/main" id="{F4B40BF3-D446-4454-B750-859BB6D2F81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5" name="TextBox 112">
          <a:extLst>
            <a:ext uri="{FF2B5EF4-FFF2-40B4-BE49-F238E27FC236}">
              <a16:creationId xmlns:a16="http://schemas.microsoft.com/office/drawing/2014/main" id="{5E5E492F-293F-4144-BAE3-019D68027E6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6" name="TextBox 111">
          <a:extLst>
            <a:ext uri="{FF2B5EF4-FFF2-40B4-BE49-F238E27FC236}">
              <a16:creationId xmlns:a16="http://schemas.microsoft.com/office/drawing/2014/main" id="{884D2F69-B813-484F-937C-F9ACF671B43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7" name="TextBox 112">
          <a:extLst>
            <a:ext uri="{FF2B5EF4-FFF2-40B4-BE49-F238E27FC236}">
              <a16:creationId xmlns:a16="http://schemas.microsoft.com/office/drawing/2014/main" id="{DEEFB61D-F9CA-4625-A49B-D5FF30B77A6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8" name="TextBox 111">
          <a:extLst>
            <a:ext uri="{FF2B5EF4-FFF2-40B4-BE49-F238E27FC236}">
              <a16:creationId xmlns:a16="http://schemas.microsoft.com/office/drawing/2014/main" id="{711C7CC1-8217-438D-8229-859EC6F676D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29" name="TextBox 112">
          <a:extLst>
            <a:ext uri="{FF2B5EF4-FFF2-40B4-BE49-F238E27FC236}">
              <a16:creationId xmlns:a16="http://schemas.microsoft.com/office/drawing/2014/main" id="{572DF8BD-F5F5-40EA-BF53-F9538520E6A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0" name="TextBox 111">
          <a:extLst>
            <a:ext uri="{FF2B5EF4-FFF2-40B4-BE49-F238E27FC236}">
              <a16:creationId xmlns:a16="http://schemas.microsoft.com/office/drawing/2014/main" id="{6FCA665B-C583-49B5-9588-3300D27A428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1" name="TextBox 112">
          <a:extLst>
            <a:ext uri="{FF2B5EF4-FFF2-40B4-BE49-F238E27FC236}">
              <a16:creationId xmlns:a16="http://schemas.microsoft.com/office/drawing/2014/main" id="{2F4178BC-C5FE-4336-AEA4-1F66A64DA23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2" name="TextBox 111">
          <a:extLst>
            <a:ext uri="{FF2B5EF4-FFF2-40B4-BE49-F238E27FC236}">
              <a16:creationId xmlns:a16="http://schemas.microsoft.com/office/drawing/2014/main" id="{FAF19BDA-FFA3-4950-AADE-5722E133661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3" name="TextBox 112">
          <a:extLst>
            <a:ext uri="{FF2B5EF4-FFF2-40B4-BE49-F238E27FC236}">
              <a16:creationId xmlns:a16="http://schemas.microsoft.com/office/drawing/2014/main" id="{A4772D36-DADB-48ED-B6C6-890C05DFC91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4" name="TextBox 111">
          <a:extLst>
            <a:ext uri="{FF2B5EF4-FFF2-40B4-BE49-F238E27FC236}">
              <a16:creationId xmlns:a16="http://schemas.microsoft.com/office/drawing/2014/main" id="{295ADA95-4A40-4AA0-A6F5-043793BAD67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5" name="TextBox 112">
          <a:extLst>
            <a:ext uri="{FF2B5EF4-FFF2-40B4-BE49-F238E27FC236}">
              <a16:creationId xmlns:a16="http://schemas.microsoft.com/office/drawing/2014/main" id="{A923E2C4-15A4-453A-B83A-4E2B9ABDF5B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6" name="TextBox 111">
          <a:extLst>
            <a:ext uri="{FF2B5EF4-FFF2-40B4-BE49-F238E27FC236}">
              <a16:creationId xmlns:a16="http://schemas.microsoft.com/office/drawing/2014/main" id="{25B657FE-7ADD-4565-A69F-E29B503BEB4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7" name="TextBox 112">
          <a:extLst>
            <a:ext uri="{FF2B5EF4-FFF2-40B4-BE49-F238E27FC236}">
              <a16:creationId xmlns:a16="http://schemas.microsoft.com/office/drawing/2014/main" id="{CFE5C02E-3EF8-4727-A33B-B5E47FAD99C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8" name="TextBox 111">
          <a:extLst>
            <a:ext uri="{FF2B5EF4-FFF2-40B4-BE49-F238E27FC236}">
              <a16:creationId xmlns:a16="http://schemas.microsoft.com/office/drawing/2014/main" id="{8604BD6B-75EB-4425-B2EB-96CDEE80784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39" name="TextBox 112">
          <a:extLst>
            <a:ext uri="{FF2B5EF4-FFF2-40B4-BE49-F238E27FC236}">
              <a16:creationId xmlns:a16="http://schemas.microsoft.com/office/drawing/2014/main" id="{8D8C33D2-47B7-45BB-9A72-4E314D08E1B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0" name="TextBox 111">
          <a:extLst>
            <a:ext uri="{FF2B5EF4-FFF2-40B4-BE49-F238E27FC236}">
              <a16:creationId xmlns:a16="http://schemas.microsoft.com/office/drawing/2014/main" id="{ADFC1BC2-8B65-4954-8A85-9507619B2EE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1" name="TextBox 112">
          <a:extLst>
            <a:ext uri="{FF2B5EF4-FFF2-40B4-BE49-F238E27FC236}">
              <a16:creationId xmlns:a16="http://schemas.microsoft.com/office/drawing/2014/main" id="{94D73865-A483-47EC-B9C0-6218CBDA0B9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2" name="TextBox 111">
          <a:extLst>
            <a:ext uri="{FF2B5EF4-FFF2-40B4-BE49-F238E27FC236}">
              <a16:creationId xmlns:a16="http://schemas.microsoft.com/office/drawing/2014/main" id="{361EED9B-B2CE-45F6-BE54-CE4B9A76096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3" name="TextBox 112">
          <a:extLst>
            <a:ext uri="{FF2B5EF4-FFF2-40B4-BE49-F238E27FC236}">
              <a16:creationId xmlns:a16="http://schemas.microsoft.com/office/drawing/2014/main" id="{013DD114-A8CD-418B-9582-4D6D7FD9DA7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4" name="TextBox 111">
          <a:extLst>
            <a:ext uri="{FF2B5EF4-FFF2-40B4-BE49-F238E27FC236}">
              <a16:creationId xmlns:a16="http://schemas.microsoft.com/office/drawing/2014/main" id="{5F58B317-E9BC-42EB-9CEF-1FD467E6E6F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5" name="TextBox 112">
          <a:extLst>
            <a:ext uri="{FF2B5EF4-FFF2-40B4-BE49-F238E27FC236}">
              <a16:creationId xmlns:a16="http://schemas.microsoft.com/office/drawing/2014/main" id="{A2F650A9-F348-49BE-8C94-EE51558770B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6" name="TextBox 111">
          <a:extLst>
            <a:ext uri="{FF2B5EF4-FFF2-40B4-BE49-F238E27FC236}">
              <a16:creationId xmlns:a16="http://schemas.microsoft.com/office/drawing/2014/main" id="{FD8F1331-3281-41C9-BCFE-DBA0B0005B0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7" name="TextBox 112">
          <a:extLst>
            <a:ext uri="{FF2B5EF4-FFF2-40B4-BE49-F238E27FC236}">
              <a16:creationId xmlns:a16="http://schemas.microsoft.com/office/drawing/2014/main" id="{83C81088-08B1-4925-BA33-AE1723FC966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8" name="TextBox 111">
          <a:extLst>
            <a:ext uri="{FF2B5EF4-FFF2-40B4-BE49-F238E27FC236}">
              <a16:creationId xmlns:a16="http://schemas.microsoft.com/office/drawing/2014/main" id="{DEABA484-BD9A-4041-BADD-6F2BCCCB0C2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49" name="TextBox 112">
          <a:extLst>
            <a:ext uri="{FF2B5EF4-FFF2-40B4-BE49-F238E27FC236}">
              <a16:creationId xmlns:a16="http://schemas.microsoft.com/office/drawing/2014/main" id="{0DEA6C1D-B130-4773-BA82-5C3F9ACBD7A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0" name="TextBox 111">
          <a:extLst>
            <a:ext uri="{FF2B5EF4-FFF2-40B4-BE49-F238E27FC236}">
              <a16:creationId xmlns:a16="http://schemas.microsoft.com/office/drawing/2014/main" id="{617C80C8-976A-4907-AAD7-9FD2365AAB2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1" name="TextBox 112">
          <a:extLst>
            <a:ext uri="{FF2B5EF4-FFF2-40B4-BE49-F238E27FC236}">
              <a16:creationId xmlns:a16="http://schemas.microsoft.com/office/drawing/2014/main" id="{042FDE7C-E985-470F-B6A8-D8911F21CD2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2" name="TextBox 111">
          <a:extLst>
            <a:ext uri="{FF2B5EF4-FFF2-40B4-BE49-F238E27FC236}">
              <a16:creationId xmlns:a16="http://schemas.microsoft.com/office/drawing/2014/main" id="{AA81F21B-4D98-4936-8359-AD8E108C80A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3" name="TextBox 112">
          <a:extLst>
            <a:ext uri="{FF2B5EF4-FFF2-40B4-BE49-F238E27FC236}">
              <a16:creationId xmlns:a16="http://schemas.microsoft.com/office/drawing/2014/main" id="{4FCCA063-AB34-439D-BC7E-D46F0D71859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4" name="TextBox 111">
          <a:extLst>
            <a:ext uri="{FF2B5EF4-FFF2-40B4-BE49-F238E27FC236}">
              <a16:creationId xmlns:a16="http://schemas.microsoft.com/office/drawing/2014/main" id="{1B53FDCD-F374-4B7B-9477-1BE7C1BDB99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5" name="TextBox 112">
          <a:extLst>
            <a:ext uri="{FF2B5EF4-FFF2-40B4-BE49-F238E27FC236}">
              <a16:creationId xmlns:a16="http://schemas.microsoft.com/office/drawing/2014/main" id="{F88ADBBF-B3CF-4E32-86B3-1BB2E46E1DF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6" name="TextBox 111">
          <a:extLst>
            <a:ext uri="{FF2B5EF4-FFF2-40B4-BE49-F238E27FC236}">
              <a16:creationId xmlns:a16="http://schemas.microsoft.com/office/drawing/2014/main" id="{B898D3B0-0873-4645-9BF4-9ED52CC7E26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7" name="TextBox 112">
          <a:extLst>
            <a:ext uri="{FF2B5EF4-FFF2-40B4-BE49-F238E27FC236}">
              <a16:creationId xmlns:a16="http://schemas.microsoft.com/office/drawing/2014/main" id="{159E65E6-71B5-4BDB-9784-877226DBD9E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8" name="TextBox 111">
          <a:extLst>
            <a:ext uri="{FF2B5EF4-FFF2-40B4-BE49-F238E27FC236}">
              <a16:creationId xmlns:a16="http://schemas.microsoft.com/office/drawing/2014/main" id="{F61B8FC2-622F-407C-ABD6-7530430D231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59" name="TextBox 112">
          <a:extLst>
            <a:ext uri="{FF2B5EF4-FFF2-40B4-BE49-F238E27FC236}">
              <a16:creationId xmlns:a16="http://schemas.microsoft.com/office/drawing/2014/main" id="{0B4D1F86-DD8B-4C97-9641-FB9CB323E83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0" name="TextBox 111">
          <a:extLst>
            <a:ext uri="{FF2B5EF4-FFF2-40B4-BE49-F238E27FC236}">
              <a16:creationId xmlns:a16="http://schemas.microsoft.com/office/drawing/2014/main" id="{E0A07448-CC98-4DA8-9729-33AD9B23EC7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1" name="TextBox 112">
          <a:extLst>
            <a:ext uri="{FF2B5EF4-FFF2-40B4-BE49-F238E27FC236}">
              <a16:creationId xmlns:a16="http://schemas.microsoft.com/office/drawing/2014/main" id="{73556E6C-58EF-4608-B99A-27C6AA8FCE5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2" name="TextBox 111">
          <a:extLst>
            <a:ext uri="{FF2B5EF4-FFF2-40B4-BE49-F238E27FC236}">
              <a16:creationId xmlns:a16="http://schemas.microsoft.com/office/drawing/2014/main" id="{9EB2A73F-1C75-4EB6-9A1F-47EE0C82AB6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3" name="TextBox 112">
          <a:extLst>
            <a:ext uri="{FF2B5EF4-FFF2-40B4-BE49-F238E27FC236}">
              <a16:creationId xmlns:a16="http://schemas.microsoft.com/office/drawing/2014/main" id="{B4088D3D-6352-438A-9257-07F92A87AF3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4" name="TextBox 111">
          <a:extLst>
            <a:ext uri="{FF2B5EF4-FFF2-40B4-BE49-F238E27FC236}">
              <a16:creationId xmlns:a16="http://schemas.microsoft.com/office/drawing/2014/main" id="{0D8415B8-2C6E-4318-B189-2AC6FB4D47C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5" name="TextBox 112">
          <a:extLst>
            <a:ext uri="{FF2B5EF4-FFF2-40B4-BE49-F238E27FC236}">
              <a16:creationId xmlns:a16="http://schemas.microsoft.com/office/drawing/2014/main" id="{13170F81-6696-4A36-B8A3-618D9A599CE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6" name="TextBox 111">
          <a:extLst>
            <a:ext uri="{FF2B5EF4-FFF2-40B4-BE49-F238E27FC236}">
              <a16:creationId xmlns:a16="http://schemas.microsoft.com/office/drawing/2014/main" id="{B07CABA4-C4FC-40B9-A770-8216C88C138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7" name="TextBox 112">
          <a:extLst>
            <a:ext uri="{FF2B5EF4-FFF2-40B4-BE49-F238E27FC236}">
              <a16:creationId xmlns:a16="http://schemas.microsoft.com/office/drawing/2014/main" id="{9DB360CC-90D7-477D-AF75-91EC3F995AB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8" name="TextBox 111">
          <a:extLst>
            <a:ext uri="{FF2B5EF4-FFF2-40B4-BE49-F238E27FC236}">
              <a16:creationId xmlns:a16="http://schemas.microsoft.com/office/drawing/2014/main" id="{11D2E20A-CE74-4990-BADC-1B5A6FF557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69" name="TextBox 112">
          <a:extLst>
            <a:ext uri="{FF2B5EF4-FFF2-40B4-BE49-F238E27FC236}">
              <a16:creationId xmlns:a16="http://schemas.microsoft.com/office/drawing/2014/main" id="{2686A098-5F76-4D76-9040-A871F652962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0" name="TextBox 111">
          <a:extLst>
            <a:ext uri="{FF2B5EF4-FFF2-40B4-BE49-F238E27FC236}">
              <a16:creationId xmlns:a16="http://schemas.microsoft.com/office/drawing/2014/main" id="{C8A8CBA6-FBCC-4DD2-AA2F-7EFFFD3FEB6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1" name="TextBox 112">
          <a:extLst>
            <a:ext uri="{FF2B5EF4-FFF2-40B4-BE49-F238E27FC236}">
              <a16:creationId xmlns:a16="http://schemas.microsoft.com/office/drawing/2014/main" id="{7BC75691-E9B4-47B0-A98F-AE0DDF4C04F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2" name="TextBox 111">
          <a:extLst>
            <a:ext uri="{FF2B5EF4-FFF2-40B4-BE49-F238E27FC236}">
              <a16:creationId xmlns:a16="http://schemas.microsoft.com/office/drawing/2014/main" id="{96743504-A55A-4263-A9D7-3ED6E757AA7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3" name="TextBox 112">
          <a:extLst>
            <a:ext uri="{FF2B5EF4-FFF2-40B4-BE49-F238E27FC236}">
              <a16:creationId xmlns:a16="http://schemas.microsoft.com/office/drawing/2014/main" id="{4A42584C-64E7-45CD-A278-6C331D70B09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4" name="TextBox 111">
          <a:extLst>
            <a:ext uri="{FF2B5EF4-FFF2-40B4-BE49-F238E27FC236}">
              <a16:creationId xmlns:a16="http://schemas.microsoft.com/office/drawing/2014/main" id="{5242AE6F-06A1-47E0-ACDC-3433C149168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5" name="TextBox 112">
          <a:extLst>
            <a:ext uri="{FF2B5EF4-FFF2-40B4-BE49-F238E27FC236}">
              <a16:creationId xmlns:a16="http://schemas.microsoft.com/office/drawing/2014/main" id="{F6DE0F78-5A17-4D48-97B1-47030F374F8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6" name="TextBox 111">
          <a:extLst>
            <a:ext uri="{FF2B5EF4-FFF2-40B4-BE49-F238E27FC236}">
              <a16:creationId xmlns:a16="http://schemas.microsoft.com/office/drawing/2014/main" id="{1448754A-449F-4DB6-9A4F-DBB1E11683E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7" name="TextBox 112">
          <a:extLst>
            <a:ext uri="{FF2B5EF4-FFF2-40B4-BE49-F238E27FC236}">
              <a16:creationId xmlns:a16="http://schemas.microsoft.com/office/drawing/2014/main" id="{5492E2B8-2D9C-4946-A7BD-CE631D15B3D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8" name="TextBox 111">
          <a:extLst>
            <a:ext uri="{FF2B5EF4-FFF2-40B4-BE49-F238E27FC236}">
              <a16:creationId xmlns:a16="http://schemas.microsoft.com/office/drawing/2014/main" id="{DDBD953B-D93E-4E7D-BB9C-F5EB7AA333F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79" name="TextBox 112">
          <a:extLst>
            <a:ext uri="{FF2B5EF4-FFF2-40B4-BE49-F238E27FC236}">
              <a16:creationId xmlns:a16="http://schemas.microsoft.com/office/drawing/2014/main" id="{C0B24604-C908-4743-B65D-E186CC37C43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0" name="TextBox 111">
          <a:extLst>
            <a:ext uri="{FF2B5EF4-FFF2-40B4-BE49-F238E27FC236}">
              <a16:creationId xmlns:a16="http://schemas.microsoft.com/office/drawing/2014/main" id="{55D763AA-74F3-4377-A31C-8A9F4D60090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1" name="TextBox 112">
          <a:extLst>
            <a:ext uri="{FF2B5EF4-FFF2-40B4-BE49-F238E27FC236}">
              <a16:creationId xmlns:a16="http://schemas.microsoft.com/office/drawing/2014/main" id="{74744684-C094-4C3D-B869-FC3FBB41BCE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2" name="TextBox 111">
          <a:extLst>
            <a:ext uri="{FF2B5EF4-FFF2-40B4-BE49-F238E27FC236}">
              <a16:creationId xmlns:a16="http://schemas.microsoft.com/office/drawing/2014/main" id="{0AE4C8D2-6026-48DE-B107-8AD8DD50772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3" name="TextBox 112">
          <a:extLst>
            <a:ext uri="{FF2B5EF4-FFF2-40B4-BE49-F238E27FC236}">
              <a16:creationId xmlns:a16="http://schemas.microsoft.com/office/drawing/2014/main" id="{B0577F86-1BDF-4DCD-B69C-01B12A1D323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4" name="TextBox 111">
          <a:extLst>
            <a:ext uri="{FF2B5EF4-FFF2-40B4-BE49-F238E27FC236}">
              <a16:creationId xmlns:a16="http://schemas.microsoft.com/office/drawing/2014/main" id="{E1EF3C29-ACFC-4EF7-A083-0CD14139979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5" name="TextBox 112">
          <a:extLst>
            <a:ext uri="{FF2B5EF4-FFF2-40B4-BE49-F238E27FC236}">
              <a16:creationId xmlns:a16="http://schemas.microsoft.com/office/drawing/2014/main" id="{15547DD9-C4EF-40D0-99C7-F44D677228A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6" name="TextBox 111">
          <a:extLst>
            <a:ext uri="{FF2B5EF4-FFF2-40B4-BE49-F238E27FC236}">
              <a16:creationId xmlns:a16="http://schemas.microsoft.com/office/drawing/2014/main" id="{A4D94B42-00C3-419D-A480-0DFEAF1C4F8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7" name="TextBox 112">
          <a:extLst>
            <a:ext uri="{FF2B5EF4-FFF2-40B4-BE49-F238E27FC236}">
              <a16:creationId xmlns:a16="http://schemas.microsoft.com/office/drawing/2014/main" id="{620660A3-E3EE-4701-95C6-1B16226187C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8" name="TextBox 111">
          <a:extLst>
            <a:ext uri="{FF2B5EF4-FFF2-40B4-BE49-F238E27FC236}">
              <a16:creationId xmlns:a16="http://schemas.microsoft.com/office/drawing/2014/main" id="{9529FD52-F10D-4B03-8CF5-775C0EBC55B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89" name="TextBox 112">
          <a:extLst>
            <a:ext uri="{FF2B5EF4-FFF2-40B4-BE49-F238E27FC236}">
              <a16:creationId xmlns:a16="http://schemas.microsoft.com/office/drawing/2014/main" id="{B8D60E0B-D3D7-4383-AD47-08741CCCA38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0" name="TextBox 111">
          <a:extLst>
            <a:ext uri="{FF2B5EF4-FFF2-40B4-BE49-F238E27FC236}">
              <a16:creationId xmlns:a16="http://schemas.microsoft.com/office/drawing/2014/main" id="{B5056F9E-8561-4EC6-AB8E-F50CB98B634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1" name="TextBox 112">
          <a:extLst>
            <a:ext uri="{FF2B5EF4-FFF2-40B4-BE49-F238E27FC236}">
              <a16:creationId xmlns:a16="http://schemas.microsoft.com/office/drawing/2014/main" id="{6BFBC245-60ED-4D3A-9FBE-C69503E594C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2" name="TextBox 111">
          <a:extLst>
            <a:ext uri="{FF2B5EF4-FFF2-40B4-BE49-F238E27FC236}">
              <a16:creationId xmlns:a16="http://schemas.microsoft.com/office/drawing/2014/main" id="{F31821A5-0E88-49FD-900B-343342C567A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3" name="TextBox 112">
          <a:extLst>
            <a:ext uri="{FF2B5EF4-FFF2-40B4-BE49-F238E27FC236}">
              <a16:creationId xmlns:a16="http://schemas.microsoft.com/office/drawing/2014/main" id="{DF82BC0B-1D35-4477-A4E6-D4278ABD88F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4" name="TextBox 111">
          <a:extLst>
            <a:ext uri="{FF2B5EF4-FFF2-40B4-BE49-F238E27FC236}">
              <a16:creationId xmlns:a16="http://schemas.microsoft.com/office/drawing/2014/main" id="{19AB9F89-DA68-4272-900A-22674927556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5" name="TextBox 112">
          <a:extLst>
            <a:ext uri="{FF2B5EF4-FFF2-40B4-BE49-F238E27FC236}">
              <a16:creationId xmlns:a16="http://schemas.microsoft.com/office/drawing/2014/main" id="{139586FC-476E-4421-8A16-005CFD1F09E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6" name="TextBox 111">
          <a:extLst>
            <a:ext uri="{FF2B5EF4-FFF2-40B4-BE49-F238E27FC236}">
              <a16:creationId xmlns:a16="http://schemas.microsoft.com/office/drawing/2014/main" id="{EE281A7A-36F9-468C-BDC2-04996127DE6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7" name="TextBox 112">
          <a:extLst>
            <a:ext uri="{FF2B5EF4-FFF2-40B4-BE49-F238E27FC236}">
              <a16:creationId xmlns:a16="http://schemas.microsoft.com/office/drawing/2014/main" id="{7C4BEC68-FD92-47C4-8914-D0A80C42EFF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8" name="TextBox 111">
          <a:extLst>
            <a:ext uri="{FF2B5EF4-FFF2-40B4-BE49-F238E27FC236}">
              <a16:creationId xmlns:a16="http://schemas.microsoft.com/office/drawing/2014/main" id="{E50B49F5-2C7A-4BB1-B18C-8FEDD5236A8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799" name="TextBox 112">
          <a:extLst>
            <a:ext uri="{FF2B5EF4-FFF2-40B4-BE49-F238E27FC236}">
              <a16:creationId xmlns:a16="http://schemas.microsoft.com/office/drawing/2014/main" id="{05D19068-67FF-4E0C-AB82-E997E04513C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0" name="TextBox 111">
          <a:extLst>
            <a:ext uri="{FF2B5EF4-FFF2-40B4-BE49-F238E27FC236}">
              <a16:creationId xmlns:a16="http://schemas.microsoft.com/office/drawing/2014/main" id="{11132529-EC38-4D6A-B2E7-EC1F484E320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1" name="TextBox 112">
          <a:extLst>
            <a:ext uri="{FF2B5EF4-FFF2-40B4-BE49-F238E27FC236}">
              <a16:creationId xmlns:a16="http://schemas.microsoft.com/office/drawing/2014/main" id="{5B53528F-B653-4FC7-A9BF-CC5ADCDA647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2" name="TextBox 111">
          <a:extLst>
            <a:ext uri="{FF2B5EF4-FFF2-40B4-BE49-F238E27FC236}">
              <a16:creationId xmlns:a16="http://schemas.microsoft.com/office/drawing/2014/main" id="{F651F872-336E-4BCA-82E9-FCE408FBD1C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3" name="TextBox 112">
          <a:extLst>
            <a:ext uri="{FF2B5EF4-FFF2-40B4-BE49-F238E27FC236}">
              <a16:creationId xmlns:a16="http://schemas.microsoft.com/office/drawing/2014/main" id="{C34C8E68-E4DF-425E-98CD-136F9903227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4" name="TextBox 111">
          <a:extLst>
            <a:ext uri="{FF2B5EF4-FFF2-40B4-BE49-F238E27FC236}">
              <a16:creationId xmlns:a16="http://schemas.microsoft.com/office/drawing/2014/main" id="{DD939D5A-5B14-4D6A-9D80-BEC4645AB09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5" name="TextBox 112">
          <a:extLst>
            <a:ext uri="{FF2B5EF4-FFF2-40B4-BE49-F238E27FC236}">
              <a16:creationId xmlns:a16="http://schemas.microsoft.com/office/drawing/2014/main" id="{4FCAF060-3BCE-4DAC-8088-3F9F8D5BE58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6" name="TextBox 111">
          <a:extLst>
            <a:ext uri="{FF2B5EF4-FFF2-40B4-BE49-F238E27FC236}">
              <a16:creationId xmlns:a16="http://schemas.microsoft.com/office/drawing/2014/main" id="{95AA5903-C368-4764-9A89-E407548AEFA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7" name="TextBox 112">
          <a:extLst>
            <a:ext uri="{FF2B5EF4-FFF2-40B4-BE49-F238E27FC236}">
              <a16:creationId xmlns:a16="http://schemas.microsoft.com/office/drawing/2014/main" id="{A7FDFAC0-9077-4190-8EC5-0971D0C4C7B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8" name="TextBox 111">
          <a:extLst>
            <a:ext uri="{FF2B5EF4-FFF2-40B4-BE49-F238E27FC236}">
              <a16:creationId xmlns:a16="http://schemas.microsoft.com/office/drawing/2014/main" id="{41DB01B8-171E-4A4F-83FF-BBC7F51A387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09" name="TextBox 112">
          <a:extLst>
            <a:ext uri="{FF2B5EF4-FFF2-40B4-BE49-F238E27FC236}">
              <a16:creationId xmlns:a16="http://schemas.microsoft.com/office/drawing/2014/main" id="{FEDEDE01-1866-4399-AD1A-966A59625BE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0" name="TextBox 111">
          <a:extLst>
            <a:ext uri="{FF2B5EF4-FFF2-40B4-BE49-F238E27FC236}">
              <a16:creationId xmlns:a16="http://schemas.microsoft.com/office/drawing/2014/main" id="{30DCD0FB-3613-4BBD-AAC2-022D3046AB0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1" name="TextBox 112">
          <a:extLst>
            <a:ext uri="{FF2B5EF4-FFF2-40B4-BE49-F238E27FC236}">
              <a16:creationId xmlns:a16="http://schemas.microsoft.com/office/drawing/2014/main" id="{F70DEA48-C9B0-4C92-A87B-2EEB6FC4D9D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2" name="TextBox 111">
          <a:extLst>
            <a:ext uri="{FF2B5EF4-FFF2-40B4-BE49-F238E27FC236}">
              <a16:creationId xmlns:a16="http://schemas.microsoft.com/office/drawing/2014/main" id="{CBEA537B-3468-4A1C-AA78-3F22378BD7E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3" name="TextBox 112">
          <a:extLst>
            <a:ext uri="{FF2B5EF4-FFF2-40B4-BE49-F238E27FC236}">
              <a16:creationId xmlns:a16="http://schemas.microsoft.com/office/drawing/2014/main" id="{01198788-F7C5-4A35-B75E-6884001D81A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4" name="TextBox 111">
          <a:extLst>
            <a:ext uri="{FF2B5EF4-FFF2-40B4-BE49-F238E27FC236}">
              <a16:creationId xmlns:a16="http://schemas.microsoft.com/office/drawing/2014/main" id="{F267684F-FD75-4602-8ECA-A86EEB0B12D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5" name="TextBox 112">
          <a:extLst>
            <a:ext uri="{FF2B5EF4-FFF2-40B4-BE49-F238E27FC236}">
              <a16:creationId xmlns:a16="http://schemas.microsoft.com/office/drawing/2014/main" id="{DFFF2B8F-3A20-44C6-B50D-EC858161807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6" name="TextBox 111">
          <a:extLst>
            <a:ext uri="{FF2B5EF4-FFF2-40B4-BE49-F238E27FC236}">
              <a16:creationId xmlns:a16="http://schemas.microsoft.com/office/drawing/2014/main" id="{BEF914DA-185F-4503-A70C-7C671A9F5EC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7" name="TextBox 112">
          <a:extLst>
            <a:ext uri="{FF2B5EF4-FFF2-40B4-BE49-F238E27FC236}">
              <a16:creationId xmlns:a16="http://schemas.microsoft.com/office/drawing/2014/main" id="{AA8CC2AE-21F8-4388-A980-A4B8C359684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8" name="TextBox 111">
          <a:extLst>
            <a:ext uri="{FF2B5EF4-FFF2-40B4-BE49-F238E27FC236}">
              <a16:creationId xmlns:a16="http://schemas.microsoft.com/office/drawing/2014/main" id="{C55A7C92-0734-4A36-AC8B-2C9B6B99529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19" name="TextBox 112">
          <a:extLst>
            <a:ext uri="{FF2B5EF4-FFF2-40B4-BE49-F238E27FC236}">
              <a16:creationId xmlns:a16="http://schemas.microsoft.com/office/drawing/2014/main" id="{44D9088A-E334-452F-9F45-5B0D8B3054C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0" name="TextBox 111">
          <a:extLst>
            <a:ext uri="{FF2B5EF4-FFF2-40B4-BE49-F238E27FC236}">
              <a16:creationId xmlns:a16="http://schemas.microsoft.com/office/drawing/2014/main" id="{2A171471-0338-4D4B-9B02-E3B6A361D1D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1" name="TextBox 112">
          <a:extLst>
            <a:ext uri="{FF2B5EF4-FFF2-40B4-BE49-F238E27FC236}">
              <a16:creationId xmlns:a16="http://schemas.microsoft.com/office/drawing/2014/main" id="{D0E78503-51AF-4393-83ED-F838499D140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2" name="TextBox 111">
          <a:extLst>
            <a:ext uri="{FF2B5EF4-FFF2-40B4-BE49-F238E27FC236}">
              <a16:creationId xmlns:a16="http://schemas.microsoft.com/office/drawing/2014/main" id="{BAECCD5A-2107-4790-8C00-A97D1C3E34D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3" name="TextBox 112">
          <a:extLst>
            <a:ext uri="{FF2B5EF4-FFF2-40B4-BE49-F238E27FC236}">
              <a16:creationId xmlns:a16="http://schemas.microsoft.com/office/drawing/2014/main" id="{D0AF9257-0D26-4E72-9CA5-794E441D9A4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4" name="TextBox 111">
          <a:extLst>
            <a:ext uri="{FF2B5EF4-FFF2-40B4-BE49-F238E27FC236}">
              <a16:creationId xmlns:a16="http://schemas.microsoft.com/office/drawing/2014/main" id="{709AB896-86FD-44A6-A2BF-7E35FC2DEB7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5" name="TextBox 112">
          <a:extLst>
            <a:ext uri="{FF2B5EF4-FFF2-40B4-BE49-F238E27FC236}">
              <a16:creationId xmlns:a16="http://schemas.microsoft.com/office/drawing/2014/main" id="{8E978E87-7199-4485-8230-8D0FBC70832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6" name="TextBox 111">
          <a:extLst>
            <a:ext uri="{FF2B5EF4-FFF2-40B4-BE49-F238E27FC236}">
              <a16:creationId xmlns:a16="http://schemas.microsoft.com/office/drawing/2014/main" id="{9307043E-BAE5-48EF-97E8-581BEE62696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7" name="TextBox 112">
          <a:extLst>
            <a:ext uri="{FF2B5EF4-FFF2-40B4-BE49-F238E27FC236}">
              <a16:creationId xmlns:a16="http://schemas.microsoft.com/office/drawing/2014/main" id="{763DC920-BD01-4FB2-B7E3-6DB127F0524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8" name="TextBox 111">
          <a:extLst>
            <a:ext uri="{FF2B5EF4-FFF2-40B4-BE49-F238E27FC236}">
              <a16:creationId xmlns:a16="http://schemas.microsoft.com/office/drawing/2014/main" id="{CF1EAE52-D45F-41F6-883E-1B6FF154EC6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29" name="TextBox 112">
          <a:extLst>
            <a:ext uri="{FF2B5EF4-FFF2-40B4-BE49-F238E27FC236}">
              <a16:creationId xmlns:a16="http://schemas.microsoft.com/office/drawing/2014/main" id="{DC742A35-FA12-4782-A147-31C94864540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0" name="TextBox 111">
          <a:extLst>
            <a:ext uri="{FF2B5EF4-FFF2-40B4-BE49-F238E27FC236}">
              <a16:creationId xmlns:a16="http://schemas.microsoft.com/office/drawing/2014/main" id="{D3989F13-88E2-44D8-AACA-840A70EF543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1" name="TextBox 112">
          <a:extLst>
            <a:ext uri="{FF2B5EF4-FFF2-40B4-BE49-F238E27FC236}">
              <a16:creationId xmlns:a16="http://schemas.microsoft.com/office/drawing/2014/main" id="{AF037D2D-D602-43DD-AA29-CCE49CA189A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2" name="TextBox 111">
          <a:extLst>
            <a:ext uri="{FF2B5EF4-FFF2-40B4-BE49-F238E27FC236}">
              <a16:creationId xmlns:a16="http://schemas.microsoft.com/office/drawing/2014/main" id="{7EEAE4F1-C8A2-4A19-BA02-68BC616D3B6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3" name="TextBox 112">
          <a:extLst>
            <a:ext uri="{FF2B5EF4-FFF2-40B4-BE49-F238E27FC236}">
              <a16:creationId xmlns:a16="http://schemas.microsoft.com/office/drawing/2014/main" id="{98BB6CF1-EA4F-4EC3-9734-DDFD4E601F5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4" name="TextBox 111">
          <a:extLst>
            <a:ext uri="{FF2B5EF4-FFF2-40B4-BE49-F238E27FC236}">
              <a16:creationId xmlns:a16="http://schemas.microsoft.com/office/drawing/2014/main" id="{03520733-B946-48DE-AB44-AF93E52B60B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5" name="TextBox 112">
          <a:extLst>
            <a:ext uri="{FF2B5EF4-FFF2-40B4-BE49-F238E27FC236}">
              <a16:creationId xmlns:a16="http://schemas.microsoft.com/office/drawing/2014/main" id="{AC2D28E7-0AD1-4DC1-9E8E-DE3F5C1B095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6" name="TextBox 111">
          <a:extLst>
            <a:ext uri="{FF2B5EF4-FFF2-40B4-BE49-F238E27FC236}">
              <a16:creationId xmlns:a16="http://schemas.microsoft.com/office/drawing/2014/main" id="{CB5A0A13-994B-45E9-A916-89312BBC66A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7" name="TextBox 112">
          <a:extLst>
            <a:ext uri="{FF2B5EF4-FFF2-40B4-BE49-F238E27FC236}">
              <a16:creationId xmlns:a16="http://schemas.microsoft.com/office/drawing/2014/main" id="{0A6886EB-09B5-4FA1-AD3C-E299AFE93C2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8" name="TextBox 111">
          <a:extLst>
            <a:ext uri="{FF2B5EF4-FFF2-40B4-BE49-F238E27FC236}">
              <a16:creationId xmlns:a16="http://schemas.microsoft.com/office/drawing/2014/main" id="{2D4F3BEA-3A29-495C-9E6E-AA1F28B6622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39" name="TextBox 112">
          <a:extLst>
            <a:ext uri="{FF2B5EF4-FFF2-40B4-BE49-F238E27FC236}">
              <a16:creationId xmlns:a16="http://schemas.microsoft.com/office/drawing/2014/main" id="{73B882F1-8487-475C-B328-67C7CBB1FF0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0" name="TextBox 111">
          <a:extLst>
            <a:ext uri="{FF2B5EF4-FFF2-40B4-BE49-F238E27FC236}">
              <a16:creationId xmlns:a16="http://schemas.microsoft.com/office/drawing/2014/main" id="{F7A56888-4D14-4B5B-B3FF-4C79DB4C046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1" name="TextBox 112">
          <a:extLst>
            <a:ext uri="{FF2B5EF4-FFF2-40B4-BE49-F238E27FC236}">
              <a16:creationId xmlns:a16="http://schemas.microsoft.com/office/drawing/2014/main" id="{20000A78-3C54-4FDC-9223-33E90150DE3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2" name="TextBox 111">
          <a:extLst>
            <a:ext uri="{FF2B5EF4-FFF2-40B4-BE49-F238E27FC236}">
              <a16:creationId xmlns:a16="http://schemas.microsoft.com/office/drawing/2014/main" id="{5630D589-32E9-41A3-AF0B-C2ACEF5A007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3" name="TextBox 112">
          <a:extLst>
            <a:ext uri="{FF2B5EF4-FFF2-40B4-BE49-F238E27FC236}">
              <a16:creationId xmlns:a16="http://schemas.microsoft.com/office/drawing/2014/main" id="{37AABDE3-B5BD-484B-B342-60C2A5A3F6B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4" name="TextBox 111">
          <a:extLst>
            <a:ext uri="{FF2B5EF4-FFF2-40B4-BE49-F238E27FC236}">
              <a16:creationId xmlns:a16="http://schemas.microsoft.com/office/drawing/2014/main" id="{FA9E6240-A062-44E5-B0B2-1EF5D3DFDDE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5" name="TextBox 112">
          <a:extLst>
            <a:ext uri="{FF2B5EF4-FFF2-40B4-BE49-F238E27FC236}">
              <a16:creationId xmlns:a16="http://schemas.microsoft.com/office/drawing/2014/main" id="{E81EE662-A696-497E-9522-234FB072219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6" name="TextBox 111">
          <a:extLst>
            <a:ext uri="{FF2B5EF4-FFF2-40B4-BE49-F238E27FC236}">
              <a16:creationId xmlns:a16="http://schemas.microsoft.com/office/drawing/2014/main" id="{35D8E77A-D431-4FC7-9DC0-987E497DED2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7" name="TextBox 112">
          <a:extLst>
            <a:ext uri="{FF2B5EF4-FFF2-40B4-BE49-F238E27FC236}">
              <a16:creationId xmlns:a16="http://schemas.microsoft.com/office/drawing/2014/main" id="{3CF26F8D-E775-4356-A168-A0845F4D2CF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8" name="TextBox 111">
          <a:extLst>
            <a:ext uri="{FF2B5EF4-FFF2-40B4-BE49-F238E27FC236}">
              <a16:creationId xmlns:a16="http://schemas.microsoft.com/office/drawing/2014/main" id="{C58165AC-B4F2-42D8-AFAD-A909150CC48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49" name="TextBox 112">
          <a:extLst>
            <a:ext uri="{FF2B5EF4-FFF2-40B4-BE49-F238E27FC236}">
              <a16:creationId xmlns:a16="http://schemas.microsoft.com/office/drawing/2014/main" id="{DFA5A760-8268-490B-8D1C-B1165334B1B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0" name="TextBox 111">
          <a:extLst>
            <a:ext uri="{FF2B5EF4-FFF2-40B4-BE49-F238E27FC236}">
              <a16:creationId xmlns:a16="http://schemas.microsoft.com/office/drawing/2014/main" id="{B62BD1DF-EEDE-41D4-9004-52EAC04E63B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1" name="TextBox 112">
          <a:extLst>
            <a:ext uri="{FF2B5EF4-FFF2-40B4-BE49-F238E27FC236}">
              <a16:creationId xmlns:a16="http://schemas.microsoft.com/office/drawing/2014/main" id="{51419B91-4B19-4170-AC12-1B66E65FCC5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2" name="TextBox 111">
          <a:extLst>
            <a:ext uri="{FF2B5EF4-FFF2-40B4-BE49-F238E27FC236}">
              <a16:creationId xmlns:a16="http://schemas.microsoft.com/office/drawing/2014/main" id="{B7E07085-89E7-4CB2-AA72-3C91295DF3C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3" name="TextBox 112">
          <a:extLst>
            <a:ext uri="{FF2B5EF4-FFF2-40B4-BE49-F238E27FC236}">
              <a16:creationId xmlns:a16="http://schemas.microsoft.com/office/drawing/2014/main" id="{DB68AEE8-9F89-4053-B08E-D2644C7C3AF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4" name="TextBox 111">
          <a:extLst>
            <a:ext uri="{FF2B5EF4-FFF2-40B4-BE49-F238E27FC236}">
              <a16:creationId xmlns:a16="http://schemas.microsoft.com/office/drawing/2014/main" id="{83262B95-B943-4591-9255-C9786BE19DB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5" name="TextBox 112">
          <a:extLst>
            <a:ext uri="{FF2B5EF4-FFF2-40B4-BE49-F238E27FC236}">
              <a16:creationId xmlns:a16="http://schemas.microsoft.com/office/drawing/2014/main" id="{989FDC17-EAA5-45D8-9CEC-CDB28476DBC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6" name="TextBox 111">
          <a:extLst>
            <a:ext uri="{FF2B5EF4-FFF2-40B4-BE49-F238E27FC236}">
              <a16:creationId xmlns:a16="http://schemas.microsoft.com/office/drawing/2014/main" id="{5854F634-A3BC-44E7-80B7-6FED2856C5A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7" name="TextBox 112">
          <a:extLst>
            <a:ext uri="{FF2B5EF4-FFF2-40B4-BE49-F238E27FC236}">
              <a16:creationId xmlns:a16="http://schemas.microsoft.com/office/drawing/2014/main" id="{9EAD6C5F-4015-48E5-83F4-02C211810BD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8" name="TextBox 111">
          <a:extLst>
            <a:ext uri="{FF2B5EF4-FFF2-40B4-BE49-F238E27FC236}">
              <a16:creationId xmlns:a16="http://schemas.microsoft.com/office/drawing/2014/main" id="{155A2C40-6ED6-411E-9F7A-DF9400CC525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59" name="TextBox 112">
          <a:extLst>
            <a:ext uri="{FF2B5EF4-FFF2-40B4-BE49-F238E27FC236}">
              <a16:creationId xmlns:a16="http://schemas.microsoft.com/office/drawing/2014/main" id="{02D4AA01-4BCE-442A-ACA5-0CADCAF19BF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0" name="TextBox 111">
          <a:extLst>
            <a:ext uri="{FF2B5EF4-FFF2-40B4-BE49-F238E27FC236}">
              <a16:creationId xmlns:a16="http://schemas.microsoft.com/office/drawing/2014/main" id="{AFEB6D93-4BAD-4710-9799-EF9D98CFFA7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1" name="TextBox 112">
          <a:extLst>
            <a:ext uri="{FF2B5EF4-FFF2-40B4-BE49-F238E27FC236}">
              <a16:creationId xmlns:a16="http://schemas.microsoft.com/office/drawing/2014/main" id="{106FBC6B-6AF7-45E9-83D7-5ABE2C031B6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2" name="TextBox 111">
          <a:extLst>
            <a:ext uri="{FF2B5EF4-FFF2-40B4-BE49-F238E27FC236}">
              <a16:creationId xmlns:a16="http://schemas.microsoft.com/office/drawing/2014/main" id="{33149E84-3EB0-4685-8231-2A610508DEE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3" name="TextBox 112">
          <a:extLst>
            <a:ext uri="{FF2B5EF4-FFF2-40B4-BE49-F238E27FC236}">
              <a16:creationId xmlns:a16="http://schemas.microsoft.com/office/drawing/2014/main" id="{962B76A8-D606-485F-A2D0-A05AFCAC22C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4" name="TextBox 111">
          <a:extLst>
            <a:ext uri="{FF2B5EF4-FFF2-40B4-BE49-F238E27FC236}">
              <a16:creationId xmlns:a16="http://schemas.microsoft.com/office/drawing/2014/main" id="{D29A81A5-85F8-4ABC-A54F-270138E195B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5" name="TextBox 112">
          <a:extLst>
            <a:ext uri="{FF2B5EF4-FFF2-40B4-BE49-F238E27FC236}">
              <a16:creationId xmlns:a16="http://schemas.microsoft.com/office/drawing/2014/main" id="{C99429B8-C104-4763-B9B1-A4F32A96544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6" name="TextBox 111">
          <a:extLst>
            <a:ext uri="{FF2B5EF4-FFF2-40B4-BE49-F238E27FC236}">
              <a16:creationId xmlns:a16="http://schemas.microsoft.com/office/drawing/2014/main" id="{386E367D-8D75-466C-8813-BA7BF7E64E4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7" name="TextBox 112">
          <a:extLst>
            <a:ext uri="{FF2B5EF4-FFF2-40B4-BE49-F238E27FC236}">
              <a16:creationId xmlns:a16="http://schemas.microsoft.com/office/drawing/2014/main" id="{7F628474-2E15-4632-BBCE-A9C46151B13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8" name="TextBox 111">
          <a:extLst>
            <a:ext uri="{FF2B5EF4-FFF2-40B4-BE49-F238E27FC236}">
              <a16:creationId xmlns:a16="http://schemas.microsoft.com/office/drawing/2014/main" id="{4B25E8C9-AC19-4A15-98B9-5020A040836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69" name="TextBox 112">
          <a:extLst>
            <a:ext uri="{FF2B5EF4-FFF2-40B4-BE49-F238E27FC236}">
              <a16:creationId xmlns:a16="http://schemas.microsoft.com/office/drawing/2014/main" id="{56B4231B-CC1E-4E6A-AB92-AB50A5D4A13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0" name="TextBox 111">
          <a:extLst>
            <a:ext uri="{FF2B5EF4-FFF2-40B4-BE49-F238E27FC236}">
              <a16:creationId xmlns:a16="http://schemas.microsoft.com/office/drawing/2014/main" id="{B1FA68F8-3B60-43A5-A673-4C216056F99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1" name="TextBox 112">
          <a:extLst>
            <a:ext uri="{FF2B5EF4-FFF2-40B4-BE49-F238E27FC236}">
              <a16:creationId xmlns:a16="http://schemas.microsoft.com/office/drawing/2014/main" id="{B5EA396E-E57D-49D4-A533-C06725A07DE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2" name="TextBox 111">
          <a:extLst>
            <a:ext uri="{FF2B5EF4-FFF2-40B4-BE49-F238E27FC236}">
              <a16:creationId xmlns:a16="http://schemas.microsoft.com/office/drawing/2014/main" id="{2596DB0A-E242-4F45-A378-93FA857550C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3" name="TextBox 112">
          <a:extLst>
            <a:ext uri="{FF2B5EF4-FFF2-40B4-BE49-F238E27FC236}">
              <a16:creationId xmlns:a16="http://schemas.microsoft.com/office/drawing/2014/main" id="{1C397140-D93F-49CA-8CBB-75A4DBE37CB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4" name="TextBox 111">
          <a:extLst>
            <a:ext uri="{FF2B5EF4-FFF2-40B4-BE49-F238E27FC236}">
              <a16:creationId xmlns:a16="http://schemas.microsoft.com/office/drawing/2014/main" id="{E7C23CCE-9EF1-4328-BACD-68F35BE2DFC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5" name="TextBox 112">
          <a:extLst>
            <a:ext uri="{FF2B5EF4-FFF2-40B4-BE49-F238E27FC236}">
              <a16:creationId xmlns:a16="http://schemas.microsoft.com/office/drawing/2014/main" id="{F9C971AD-D87C-473C-A351-B33C038B0EE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6" name="TextBox 111">
          <a:extLst>
            <a:ext uri="{FF2B5EF4-FFF2-40B4-BE49-F238E27FC236}">
              <a16:creationId xmlns:a16="http://schemas.microsoft.com/office/drawing/2014/main" id="{47A51E8C-9B47-4C35-8431-6EF5FD2EE75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7" name="TextBox 112">
          <a:extLst>
            <a:ext uri="{FF2B5EF4-FFF2-40B4-BE49-F238E27FC236}">
              <a16:creationId xmlns:a16="http://schemas.microsoft.com/office/drawing/2014/main" id="{3145504A-F699-456F-A963-061AD3423CE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8" name="TextBox 111">
          <a:extLst>
            <a:ext uri="{FF2B5EF4-FFF2-40B4-BE49-F238E27FC236}">
              <a16:creationId xmlns:a16="http://schemas.microsoft.com/office/drawing/2014/main" id="{17D2A40B-4682-4813-B754-6583722AD3C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79" name="TextBox 112">
          <a:extLst>
            <a:ext uri="{FF2B5EF4-FFF2-40B4-BE49-F238E27FC236}">
              <a16:creationId xmlns:a16="http://schemas.microsoft.com/office/drawing/2014/main" id="{C09A33DB-C2AC-4EEE-AE8C-86CFA4F768B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0" name="TextBox 111">
          <a:extLst>
            <a:ext uri="{FF2B5EF4-FFF2-40B4-BE49-F238E27FC236}">
              <a16:creationId xmlns:a16="http://schemas.microsoft.com/office/drawing/2014/main" id="{30087F2F-52EF-457C-A44E-B780BD3C4C7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1" name="TextBox 112">
          <a:extLst>
            <a:ext uri="{FF2B5EF4-FFF2-40B4-BE49-F238E27FC236}">
              <a16:creationId xmlns:a16="http://schemas.microsoft.com/office/drawing/2014/main" id="{4A230E42-135C-4D00-8531-545DBE4A092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2" name="TextBox 111">
          <a:extLst>
            <a:ext uri="{FF2B5EF4-FFF2-40B4-BE49-F238E27FC236}">
              <a16:creationId xmlns:a16="http://schemas.microsoft.com/office/drawing/2014/main" id="{81DA8A8B-AF15-4305-B14F-E8847BA3C8E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3" name="TextBox 112">
          <a:extLst>
            <a:ext uri="{FF2B5EF4-FFF2-40B4-BE49-F238E27FC236}">
              <a16:creationId xmlns:a16="http://schemas.microsoft.com/office/drawing/2014/main" id="{368FB2AD-0185-438E-9395-CB84BB9A5C8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4" name="TextBox 111">
          <a:extLst>
            <a:ext uri="{FF2B5EF4-FFF2-40B4-BE49-F238E27FC236}">
              <a16:creationId xmlns:a16="http://schemas.microsoft.com/office/drawing/2014/main" id="{364C2D94-8957-4CB4-B6F6-869CD4B791B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5" name="TextBox 112">
          <a:extLst>
            <a:ext uri="{FF2B5EF4-FFF2-40B4-BE49-F238E27FC236}">
              <a16:creationId xmlns:a16="http://schemas.microsoft.com/office/drawing/2014/main" id="{9D494BB5-CE20-49A7-B707-528AF7377B2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6" name="TextBox 111">
          <a:extLst>
            <a:ext uri="{FF2B5EF4-FFF2-40B4-BE49-F238E27FC236}">
              <a16:creationId xmlns:a16="http://schemas.microsoft.com/office/drawing/2014/main" id="{C28C7873-1DBF-47F1-A8CC-F73939EAF32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7" name="TextBox 112">
          <a:extLst>
            <a:ext uri="{FF2B5EF4-FFF2-40B4-BE49-F238E27FC236}">
              <a16:creationId xmlns:a16="http://schemas.microsoft.com/office/drawing/2014/main" id="{112923FF-F7F8-4644-85F7-DEEDCDD62A7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8" name="TextBox 111">
          <a:extLst>
            <a:ext uri="{FF2B5EF4-FFF2-40B4-BE49-F238E27FC236}">
              <a16:creationId xmlns:a16="http://schemas.microsoft.com/office/drawing/2014/main" id="{5C660E63-ABC3-4EA7-8797-5A4FBF95D30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89" name="TextBox 112">
          <a:extLst>
            <a:ext uri="{FF2B5EF4-FFF2-40B4-BE49-F238E27FC236}">
              <a16:creationId xmlns:a16="http://schemas.microsoft.com/office/drawing/2014/main" id="{9CD47A1D-F4AC-4010-ABB6-9705643B9E4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0" name="TextBox 111">
          <a:extLst>
            <a:ext uri="{FF2B5EF4-FFF2-40B4-BE49-F238E27FC236}">
              <a16:creationId xmlns:a16="http://schemas.microsoft.com/office/drawing/2014/main" id="{B7D8AA32-97C8-4BF0-AA63-A089E1B34E6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1" name="TextBox 112">
          <a:extLst>
            <a:ext uri="{FF2B5EF4-FFF2-40B4-BE49-F238E27FC236}">
              <a16:creationId xmlns:a16="http://schemas.microsoft.com/office/drawing/2014/main" id="{866BC238-A940-4BC8-9F28-FC77F80F94A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2" name="TextBox 111">
          <a:extLst>
            <a:ext uri="{FF2B5EF4-FFF2-40B4-BE49-F238E27FC236}">
              <a16:creationId xmlns:a16="http://schemas.microsoft.com/office/drawing/2014/main" id="{AF056C7C-7BD9-4B38-A8A5-2FFD257B6ED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3" name="TextBox 112">
          <a:extLst>
            <a:ext uri="{FF2B5EF4-FFF2-40B4-BE49-F238E27FC236}">
              <a16:creationId xmlns:a16="http://schemas.microsoft.com/office/drawing/2014/main" id="{B8CAFC99-813F-4CAC-82B8-BA5360490F1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4" name="TextBox 111">
          <a:extLst>
            <a:ext uri="{FF2B5EF4-FFF2-40B4-BE49-F238E27FC236}">
              <a16:creationId xmlns:a16="http://schemas.microsoft.com/office/drawing/2014/main" id="{8DC352C4-3E17-44F6-A928-3D086BC94EF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5" name="TextBox 112">
          <a:extLst>
            <a:ext uri="{FF2B5EF4-FFF2-40B4-BE49-F238E27FC236}">
              <a16:creationId xmlns:a16="http://schemas.microsoft.com/office/drawing/2014/main" id="{9CCF11D9-C350-438D-9086-4AD25C90715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6" name="TextBox 111">
          <a:extLst>
            <a:ext uri="{FF2B5EF4-FFF2-40B4-BE49-F238E27FC236}">
              <a16:creationId xmlns:a16="http://schemas.microsoft.com/office/drawing/2014/main" id="{FE8A8815-B885-4E68-9586-20583534C55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7" name="TextBox 112">
          <a:extLst>
            <a:ext uri="{FF2B5EF4-FFF2-40B4-BE49-F238E27FC236}">
              <a16:creationId xmlns:a16="http://schemas.microsoft.com/office/drawing/2014/main" id="{4F41AAAE-AE4A-4075-B58A-392256C57A8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8" name="TextBox 111">
          <a:extLst>
            <a:ext uri="{FF2B5EF4-FFF2-40B4-BE49-F238E27FC236}">
              <a16:creationId xmlns:a16="http://schemas.microsoft.com/office/drawing/2014/main" id="{EB1CDE68-CD6B-4215-87A0-082058476B8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899" name="TextBox 112">
          <a:extLst>
            <a:ext uri="{FF2B5EF4-FFF2-40B4-BE49-F238E27FC236}">
              <a16:creationId xmlns:a16="http://schemas.microsoft.com/office/drawing/2014/main" id="{A3516F1D-BF14-4E55-AC70-84622DA22BA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0" name="TextBox 111">
          <a:extLst>
            <a:ext uri="{FF2B5EF4-FFF2-40B4-BE49-F238E27FC236}">
              <a16:creationId xmlns:a16="http://schemas.microsoft.com/office/drawing/2014/main" id="{6B0E9E18-61D5-449A-9D7F-F2D1812F55A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1" name="TextBox 112">
          <a:extLst>
            <a:ext uri="{FF2B5EF4-FFF2-40B4-BE49-F238E27FC236}">
              <a16:creationId xmlns:a16="http://schemas.microsoft.com/office/drawing/2014/main" id="{B90F6952-E44C-46DA-9535-B1D055CEB46E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2" name="TextBox 111">
          <a:extLst>
            <a:ext uri="{FF2B5EF4-FFF2-40B4-BE49-F238E27FC236}">
              <a16:creationId xmlns:a16="http://schemas.microsoft.com/office/drawing/2014/main" id="{51F7F91C-18FF-43F3-8F0C-48930B1E823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3" name="TextBox 112">
          <a:extLst>
            <a:ext uri="{FF2B5EF4-FFF2-40B4-BE49-F238E27FC236}">
              <a16:creationId xmlns:a16="http://schemas.microsoft.com/office/drawing/2014/main" id="{5F96A9BE-71AC-4FF6-A99A-03EF3F424D6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4" name="TextBox 111">
          <a:extLst>
            <a:ext uri="{FF2B5EF4-FFF2-40B4-BE49-F238E27FC236}">
              <a16:creationId xmlns:a16="http://schemas.microsoft.com/office/drawing/2014/main" id="{C2EE4C8C-35B4-4AC1-832F-E39B9CCAF12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5" name="TextBox 112">
          <a:extLst>
            <a:ext uri="{FF2B5EF4-FFF2-40B4-BE49-F238E27FC236}">
              <a16:creationId xmlns:a16="http://schemas.microsoft.com/office/drawing/2014/main" id="{C77FC484-6B4D-4EC9-9DC0-4E7784B5BCB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6" name="TextBox 111">
          <a:extLst>
            <a:ext uri="{FF2B5EF4-FFF2-40B4-BE49-F238E27FC236}">
              <a16:creationId xmlns:a16="http://schemas.microsoft.com/office/drawing/2014/main" id="{79DF32F2-FACB-4A06-B4DC-DA15C678862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7" name="TextBox 112">
          <a:extLst>
            <a:ext uri="{FF2B5EF4-FFF2-40B4-BE49-F238E27FC236}">
              <a16:creationId xmlns:a16="http://schemas.microsoft.com/office/drawing/2014/main" id="{305622EF-A7DF-4529-A14F-61C02FC02F7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8" name="TextBox 111">
          <a:extLst>
            <a:ext uri="{FF2B5EF4-FFF2-40B4-BE49-F238E27FC236}">
              <a16:creationId xmlns:a16="http://schemas.microsoft.com/office/drawing/2014/main" id="{3ED419E4-FFEE-4744-89F9-0C1EC4BA708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09" name="TextBox 112">
          <a:extLst>
            <a:ext uri="{FF2B5EF4-FFF2-40B4-BE49-F238E27FC236}">
              <a16:creationId xmlns:a16="http://schemas.microsoft.com/office/drawing/2014/main" id="{8C682862-343B-42BF-8751-081DF91A97F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0" name="TextBox 111">
          <a:extLst>
            <a:ext uri="{FF2B5EF4-FFF2-40B4-BE49-F238E27FC236}">
              <a16:creationId xmlns:a16="http://schemas.microsoft.com/office/drawing/2014/main" id="{DB6DBBCE-2AD6-4660-A6E8-9AEDFAC15414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1" name="TextBox 112">
          <a:extLst>
            <a:ext uri="{FF2B5EF4-FFF2-40B4-BE49-F238E27FC236}">
              <a16:creationId xmlns:a16="http://schemas.microsoft.com/office/drawing/2014/main" id="{8EDC6F0F-B372-4966-87D1-C2B1340A45E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2" name="TextBox 111">
          <a:extLst>
            <a:ext uri="{FF2B5EF4-FFF2-40B4-BE49-F238E27FC236}">
              <a16:creationId xmlns:a16="http://schemas.microsoft.com/office/drawing/2014/main" id="{D6188958-5461-47A0-874B-A71A1E093FD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3" name="TextBox 112">
          <a:extLst>
            <a:ext uri="{FF2B5EF4-FFF2-40B4-BE49-F238E27FC236}">
              <a16:creationId xmlns:a16="http://schemas.microsoft.com/office/drawing/2014/main" id="{3AD90C33-8EFB-4D33-8DB1-FF4ACBD43A4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4" name="TextBox 111">
          <a:extLst>
            <a:ext uri="{FF2B5EF4-FFF2-40B4-BE49-F238E27FC236}">
              <a16:creationId xmlns:a16="http://schemas.microsoft.com/office/drawing/2014/main" id="{A1870AD4-E571-45ED-9ED4-5F044E7F31DF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5" name="TextBox 112">
          <a:extLst>
            <a:ext uri="{FF2B5EF4-FFF2-40B4-BE49-F238E27FC236}">
              <a16:creationId xmlns:a16="http://schemas.microsoft.com/office/drawing/2014/main" id="{99DA9F3B-254B-4868-9D68-5DAF2BA72932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6" name="TextBox 111">
          <a:extLst>
            <a:ext uri="{FF2B5EF4-FFF2-40B4-BE49-F238E27FC236}">
              <a16:creationId xmlns:a16="http://schemas.microsoft.com/office/drawing/2014/main" id="{AA131EA3-1EAA-4624-8238-F048E89CA85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7" name="TextBox 112">
          <a:extLst>
            <a:ext uri="{FF2B5EF4-FFF2-40B4-BE49-F238E27FC236}">
              <a16:creationId xmlns:a16="http://schemas.microsoft.com/office/drawing/2014/main" id="{125ACD6D-2A87-4D44-AD31-5D395BDF2C7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8" name="TextBox 111">
          <a:extLst>
            <a:ext uri="{FF2B5EF4-FFF2-40B4-BE49-F238E27FC236}">
              <a16:creationId xmlns:a16="http://schemas.microsoft.com/office/drawing/2014/main" id="{B0431DA0-E9CA-41EA-A13A-36C7C3BD97C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19" name="TextBox 112">
          <a:extLst>
            <a:ext uri="{FF2B5EF4-FFF2-40B4-BE49-F238E27FC236}">
              <a16:creationId xmlns:a16="http://schemas.microsoft.com/office/drawing/2014/main" id="{22B659CC-582C-4FD0-94B1-3847D004BFE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0" name="TextBox 111">
          <a:extLst>
            <a:ext uri="{FF2B5EF4-FFF2-40B4-BE49-F238E27FC236}">
              <a16:creationId xmlns:a16="http://schemas.microsoft.com/office/drawing/2014/main" id="{EF82FD42-AD44-4269-8E0F-824100DD979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1" name="TextBox 112">
          <a:extLst>
            <a:ext uri="{FF2B5EF4-FFF2-40B4-BE49-F238E27FC236}">
              <a16:creationId xmlns:a16="http://schemas.microsoft.com/office/drawing/2014/main" id="{BED28323-9F40-4621-A688-21406BC49F6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2" name="TextBox 111">
          <a:extLst>
            <a:ext uri="{FF2B5EF4-FFF2-40B4-BE49-F238E27FC236}">
              <a16:creationId xmlns:a16="http://schemas.microsoft.com/office/drawing/2014/main" id="{4C8AC74C-2AC4-4559-8EE2-65689678B34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3" name="TextBox 112">
          <a:extLst>
            <a:ext uri="{FF2B5EF4-FFF2-40B4-BE49-F238E27FC236}">
              <a16:creationId xmlns:a16="http://schemas.microsoft.com/office/drawing/2014/main" id="{9B81BBD8-1790-443F-81C6-31C2E4C9520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4" name="TextBox 111">
          <a:extLst>
            <a:ext uri="{FF2B5EF4-FFF2-40B4-BE49-F238E27FC236}">
              <a16:creationId xmlns:a16="http://schemas.microsoft.com/office/drawing/2014/main" id="{0B750B70-A40C-4AB7-BF10-8D0B9FD38CC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5" name="TextBox 112">
          <a:extLst>
            <a:ext uri="{FF2B5EF4-FFF2-40B4-BE49-F238E27FC236}">
              <a16:creationId xmlns:a16="http://schemas.microsoft.com/office/drawing/2014/main" id="{5A3BB5F1-EE00-4E7F-91E6-2F31558E291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6" name="TextBox 111">
          <a:extLst>
            <a:ext uri="{FF2B5EF4-FFF2-40B4-BE49-F238E27FC236}">
              <a16:creationId xmlns:a16="http://schemas.microsoft.com/office/drawing/2014/main" id="{DFF5D549-F8A5-4295-A0CF-68AF1211007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7" name="TextBox 112">
          <a:extLst>
            <a:ext uri="{FF2B5EF4-FFF2-40B4-BE49-F238E27FC236}">
              <a16:creationId xmlns:a16="http://schemas.microsoft.com/office/drawing/2014/main" id="{FED54D82-51B4-408B-BDC2-DEE85DCD9DD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8" name="TextBox 111">
          <a:extLst>
            <a:ext uri="{FF2B5EF4-FFF2-40B4-BE49-F238E27FC236}">
              <a16:creationId xmlns:a16="http://schemas.microsoft.com/office/drawing/2014/main" id="{286F6B37-4DCE-4F46-8D9D-3AA4BE9212F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29" name="TextBox 112">
          <a:extLst>
            <a:ext uri="{FF2B5EF4-FFF2-40B4-BE49-F238E27FC236}">
              <a16:creationId xmlns:a16="http://schemas.microsoft.com/office/drawing/2014/main" id="{3A01B944-A45E-44CC-A826-6DD7CB92485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0" name="TextBox 111">
          <a:extLst>
            <a:ext uri="{FF2B5EF4-FFF2-40B4-BE49-F238E27FC236}">
              <a16:creationId xmlns:a16="http://schemas.microsoft.com/office/drawing/2014/main" id="{65FA055D-B1C9-4DE3-82F9-FAA7E46949E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1" name="TextBox 112">
          <a:extLst>
            <a:ext uri="{FF2B5EF4-FFF2-40B4-BE49-F238E27FC236}">
              <a16:creationId xmlns:a16="http://schemas.microsoft.com/office/drawing/2014/main" id="{DEC8BC91-A65E-4F9E-9DBB-AD55FD78915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2" name="TextBox 111">
          <a:extLst>
            <a:ext uri="{FF2B5EF4-FFF2-40B4-BE49-F238E27FC236}">
              <a16:creationId xmlns:a16="http://schemas.microsoft.com/office/drawing/2014/main" id="{A70B377B-11F6-4E57-B3BE-407E52DC767B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3" name="TextBox 112">
          <a:extLst>
            <a:ext uri="{FF2B5EF4-FFF2-40B4-BE49-F238E27FC236}">
              <a16:creationId xmlns:a16="http://schemas.microsoft.com/office/drawing/2014/main" id="{DE671DFB-AEBA-4DFF-9742-11AE9EF3772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4" name="TextBox 111">
          <a:extLst>
            <a:ext uri="{FF2B5EF4-FFF2-40B4-BE49-F238E27FC236}">
              <a16:creationId xmlns:a16="http://schemas.microsoft.com/office/drawing/2014/main" id="{AFC3768C-B900-401A-80A9-EA90D2E1202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5" name="TextBox 112">
          <a:extLst>
            <a:ext uri="{FF2B5EF4-FFF2-40B4-BE49-F238E27FC236}">
              <a16:creationId xmlns:a16="http://schemas.microsoft.com/office/drawing/2014/main" id="{4CB8ADF9-3889-4F26-9277-AEE79F3A232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6" name="TextBox 111">
          <a:extLst>
            <a:ext uri="{FF2B5EF4-FFF2-40B4-BE49-F238E27FC236}">
              <a16:creationId xmlns:a16="http://schemas.microsoft.com/office/drawing/2014/main" id="{FD5ED4CD-6505-4DC1-A143-EEED2926C21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7" name="TextBox 112">
          <a:extLst>
            <a:ext uri="{FF2B5EF4-FFF2-40B4-BE49-F238E27FC236}">
              <a16:creationId xmlns:a16="http://schemas.microsoft.com/office/drawing/2014/main" id="{FEBFA1C9-24EB-4520-8091-72959E0C98E9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8" name="TextBox 111">
          <a:extLst>
            <a:ext uri="{FF2B5EF4-FFF2-40B4-BE49-F238E27FC236}">
              <a16:creationId xmlns:a16="http://schemas.microsoft.com/office/drawing/2014/main" id="{331DF889-B1F3-455F-9B9D-DA80DF64DF7A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39" name="TextBox 112">
          <a:extLst>
            <a:ext uri="{FF2B5EF4-FFF2-40B4-BE49-F238E27FC236}">
              <a16:creationId xmlns:a16="http://schemas.microsoft.com/office/drawing/2014/main" id="{2E69A28B-120A-4718-80A2-43819A307515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0" name="TextBox 111">
          <a:extLst>
            <a:ext uri="{FF2B5EF4-FFF2-40B4-BE49-F238E27FC236}">
              <a16:creationId xmlns:a16="http://schemas.microsoft.com/office/drawing/2014/main" id="{A0B7F9F5-B1D1-47DA-8239-3F1D4D42E0D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1" name="TextBox 112">
          <a:extLst>
            <a:ext uri="{FF2B5EF4-FFF2-40B4-BE49-F238E27FC236}">
              <a16:creationId xmlns:a16="http://schemas.microsoft.com/office/drawing/2014/main" id="{099ABA76-C825-4B68-8583-E1AF45A20557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2" name="TextBox 111">
          <a:extLst>
            <a:ext uri="{FF2B5EF4-FFF2-40B4-BE49-F238E27FC236}">
              <a16:creationId xmlns:a16="http://schemas.microsoft.com/office/drawing/2014/main" id="{7B07BA10-3AFB-4DD6-ABE4-D123607AF55C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3" name="TextBox 112">
          <a:extLst>
            <a:ext uri="{FF2B5EF4-FFF2-40B4-BE49-F238E27FC236}">
              <a16:creationId xmlns:a16="http://schemas.microsoft.com/office/drawing/2014/main" id="{59106E88-39DA-403D-A01F-3C717625E96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4" name="TextBox 111">
          <a:extLst>
            <a:ext uri="{FF2B5EF4-FFF2-40B4-BE49-F238E27FC236}">
              <a16:creationId xmlns:a16="http://schemas.microsoft.com/office/drawing/2014/main" id="{E2228C1B-1499-4B98-B78A-AF3D331E30D1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5" name="TextBox 112">
          <a:extLst>
            <a:ext uri="{FF2B5EF4-FFF2-40B4-BE49-F238E27FC236}">
              <a16:creationId xmlns:a16="http://schemas.microsoft.com/office/drawing/2014/main" id="{628C81F1-89F3-42FE-9706-08742F73CC78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6" name="TextBox 111">
          <a:extLst>
            <a:ext uri="{FF2B5EF4-FFF2-40B4-BE49-F238E27FC236}">
              <a16:creationId xmlns:a16="http://schemas.microsoft.com/office/drawing/2014/main" id="{458AD686-A728-4D92-A087-518760698AC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7" name="TextBox 112">
          <a:extLst>
            <a:ext uri="{FF2B5EF4-FFF2-40B4-BE49-F238E27FC236}">
              <a16:creationId xmlns:a16="http://schemas.microsoft.com/office/drawing/2014/main" id="{991F915F-0E92-472D-B6A0-E0F83506220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8" name="TextBox 111">
          <a:extLst>
            <a:ext uri="{FF2B5EF4-FFF2-40B4-BE49-F238E27FC236}">
              <a16:creationId xmlns:a16="http://schemas.microsoft.com/office/drawing/2014/main" id="{9647CBEB-4421-49D6-AD8C-0F68048F1680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49" name="TextBox 112">
          <a:extLst>
            <a:ext uri="{FF2B5EF4-FFF2-40B4-BE49-F238E27FC236}">
              <a16:creationId xmlns:a16="http://schemas.microsoft.com/office/drawing/2014/main" id="{67AA97C7-DE07-4AEC-A956-6C1F64AF8FF3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50" name="TextBox 111">
          <a:extLst>
            <a:ext uri="{FF2B5EF4-FFF2-40B4-BE49-F238E27FC236}">
              <a16:creationId xmlns:a16="http://schemas.microsoft.com/office/drawing/2014/main" id="{98892A65-7BBA-41D2-8ADC-70DD4F0F9D1D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0</xdr:colOff>
      <xdr:row>2</xdr:row>
      <xdr:rowOff>0</xdr:rowOff>
    </xdr:from>
    <xdr:ext cx="184731" cy="264560"/>
    <xdr:sp macro="" textlink="">
      <xdr:nvSpPr>
        <xdr:cNvPr id="951" name="TextBox 112">
          <a:extLst>
            <a:ext uri="{FF2B5EF4-FFF2-40B4-BE49-F238E27FC236}">
              <a16:creationId xmlns:a16="http://schemas.microsoft.com/office/drawing/2014/main" id="{788E3EAA-468D-4EDB-A386-D30EE6C9E246}"/>
            </a:ext>
          </a:extLst>
        </xdr:cNvPr>
        <xdr:cNvSpPr txBox="1"/>
      </xdr:nvSpPr>
      <xdr:spPr>
        <a:xfrm>
          <a:off x="10344150" y="419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PROJECT\PROP\DA0630\INQ'Y\STEEL\DA0463BQ.XLW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Bang\Desktop\CONG%20VIEC%20THANH\PHONG\Tuan\vt%202007\Nhan\DT500\CAPITAL\220nb-th\CAPITAL\220DTXL\PLQN9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Bang\Desktop\CONG%20VIEC%20THANH\PHONG\Tuan\vt%202007\Nhan\Congviec\T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3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Bang\Desktop\CONG%20VIEC%20THANH\PHONG\Tuan\vt%202007\My%20Documents\Nguyen\Gia3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Tuan's%20Documents/Cau%20yeu%20-%20Final/Tong%20hop38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TKKT-98-1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Hungpg1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3\c\phong\traly\tru4\BTINHT4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1\C\KTCNC\QHANHM2\TRALY\BANTINH\TRU\TRUT2T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02\c\My%20Documents\Hungf%20-%20B%201\DOCUMENT\DAUTHAU\Dungquat\GOI3\DUNGQUAT-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_2\c\Cuong-497\Abutmen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Pier-body-P5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uongCAU%20KHE%20MET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9Q\99Q3657\99Q3299(REV.0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02\c\My%20Documents\Hungf%20-%20B%201\tha\Tai%20Chinh-%20QT-Halang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C&#199;u%20Ch&#238;%20G&#23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ung_chung\My%20Documents\TAMKY\tantt\tantt\tantt\BSQ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2\c\KA\phapvan\dt-tkkttc1-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_thanh_binh\d\Luu_Tru\Ltb_ktkh\DZ220KV_Dau_Noi_sau_tram_500kV_Ha_Tinh\Gia_thau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DA0463\QTN-INSN\WILLICH\INSU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_TKD\Hong%20Hai\HAI\DANGLAM\C-SCHANH\tinh%20lu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ung_chung\My%20Documents\tantt\tantt\tantt\BSQ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.yen\c\H-YEN\LUU%20XA\DUYET\DZ110K~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KM272-~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22\d\DUCLAP\GJND\TINHMOA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T-THL7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MUC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general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Bang\Desktop\CONG%20VIEC%20THANH\PHONG\Tuan\vt%202007\Nhan\CAPITAL\110TKKT\dongxua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UTRO5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12\c\KA\phapvan\dt-tkktt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5\d\THUYF\QL6\DT-th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02\c\My%20Documents\Hungf%20-%20B%201\My%20Documents\Km4_TQ_HN%20(moi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02\c\My%20Documents\Hungf%20-%20B%201\GocSau(moi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EN2\C\WINDOWS\TEMP\3533\96Q\96q2588\PANEL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May1\KIEN\QL32\DT-T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PILECAP-P2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d2_11\c\PH99\HYNGOAI\TKKT1km\lan3\DTlan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ario\c\My%20Documents\HSMAU\KHUTEN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Bang\Desktop\CONG%20VIEC%20THANH\PHONG\Tuan\vt%202007\giang\Dung%20Quat\Nhom%20GC\New%20Folder\My%20Documents\3533\96Q\96q2588\PANE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02\c\My%20Documents\Hungf%20-%20B%201\CS3408\Standard\RP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Startup" Target="Tuan's%20Documents/Cau%20yeu-373/Tong%20hop-373-%20PA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ung_chung\My%20Documents\QTCNVHHK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d2_11\c\Minh%20Dung\Du%20Toan\TAN-AN\Chieu%20sang\NXLam\Nxl-2000\Chu%20Hoang\Hanoi%20Group\My%20Documents\Phan%20Huy\DGIAGOC\1999\HANOI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d2_09\d\Hongphu\TKKT\thamdinh\NutHongPhu-HaNa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ong_kh\dung_chung\My%20Documents\CTNTTH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unzipped\SOKT-Q3CT\SOKT-Q3CT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nchia1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rBang\Desktop\CONG%20VIEC%20THANH\PHONG\Tuan\vt%202007\Nhan\B-CAOQ~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huong\c\Hanoi\DongAnh\Du%20Toan%20TK%20Ngoc%20Thuy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02\c\My%20Documents\Hungf%20-%20B%201\My%20Documents\DToan35KV\TramCatT.Yen-B.X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Q3-01-duyet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esario\c\My%20Documents\XUANHA\tantt\QTCNVHHK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ibm\d\@MANH\CAU\CAUBTAT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Tba-U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TCLCH~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QLo15A\BC11cau-QL15A-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nhvinh\dutoan\Luu%20o%20D%20old\Dutoan\Binh%20Phuoc\BCNCKT13_S3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-huong\c\DUTOAN\Dg-hochiminh\Dacrong-tarut\Dacrong-tarut(dm)\%20duong257-27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hptt\dutoan\DUTOAN\Qlo15A\TKKT_15Alan1-dg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nhptt\dutoan\Qnam\QLo%2014B\Cong\cong32-3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u2_03\cauthinai\BVTC\Tap%201\Goi%20thau%2015\ChitietCoc\VL%20COC%201,2m,%20GOI%2015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Ben%20luc%20-%20%20TA(ha-hanh)-Thai%20sosanh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d2_11\c\PH99\SUTTRUOT\thamdinh\TONG4\Hd49as-200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_vinh\dutoan\DUTOAN\Qnam\OngTrang\KTTC-%20Ong%20Trang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H Ky Anh"/>
      <sheetName val="Sheet2 (2)"/>
      <sheetName val="t1"/>
      <sheetName val="T11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phan tich DG"/>
      <sheetName val="gia vat lieu"/>
      <sheetName val="gia xe may"/>
      <sheetName val="gia nhan cong"/>
      <sheetName val="XL4Test5"/>
      <sheetName val="cocB40 5B"/>
      <sheetName val="cocD50 9A"/>
      <sheetName val="cocD75 16"/>
      <sheetName val="coc B80 TD25"/>
      <sheetName val="P27 B80"/>
      <sheetName val="Coc23 B80"/>
      <sheetName val="cong B80 C4"/>
      <sheetName val="Bia"/>
      <sheetName val="Tm"/>
      <sheetName val="THKP"/>
      <sheetName val="DGi"/>
      <sheetName val="PNT_QUOT__3"/>
      <sheetName val="COAT_WRAP_QIOT__3"/>
      <sheetName val="TH  goi 4-x"/>
      <sheetName val="fOOD"/>
      <sheetName val="FORM hc"/>
      <sheetName val="FORM pc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CamPha"/>
      <sheetName val="MongCai"/>
      <sheetName val="70000000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ȴ0000000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m27' - Km278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CV den trong to聮g"/>
      <sheetName val="BangTH"/>
      <sheetName val="Xaylap "/>
      <sheetName val="Nhan cong"/>
      <sheetName val="Thietbi"/>
      <sheetName val="Diengiai"/>
      <sheetName val="Vanchuyen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SOLIEU"/>
      <sheetName val="TINHTOAN"/>
      <sheetName val="PNT-QUOT-D150#3"/>
      <sheetName val="PNT-QUOT-H153#3"/>
      <sheetName val="PNT-QUOT-K152#3"/>
      <sheetName val="PNT-QUOT-H146#3"/>
      <sheetName val="Bao cao KQTH quy hoach 135"/>
      <sheetName val="Sheet5"/>
      <sheetName val="Sheet6"/>
      <sheetName val="Sheet7"/>
      <sheetName val="Sheet8"/>
      <sheetName val="Sheet9"/>
      <sheetName val="Sheet10"/>
      <sheetName val="Oð mai 279"/>
      <sheetName val="T_x000b_331"/>
      <sheetName val="XLÇ_x0015_oppy"/>
      <sheetName val="Shedt1"/>
      <sheetName val="_x0012_0000000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ADKT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K43"/>
      <sheetName val="THKL"/>
      <sheetName val="PL43"/>
      <sheetName val="K43+0.00 - 338 Trai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BKLBD"/>
      <sheetName val="PTDG"/>
      <sheetName val="DTCT"/>
      <sheetName val="vlct"/>
      <sheetName val="Sheet11"/>
      <sheetName val="Sheet12"/>
      <sheetName val="Sheet13"/>
      <sheetName val="Sheet14"/>
      <sheetName val="Km283 - Jm284"/>
      <sheetName val="Cong ban 1,5_x0013__x0000_"/>
      <sheetName val="XXXXX\XX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Macro1"/>
      <sheetName val="Macro2"/>
      <sheetName val="Macro3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p0000000"/>
      <sheetName val="TNghiªm T_x0002_ "/>
      <sheetName val="tt-_x0014_BA"/>
      <sheetName val="TD_x0014_"/>
      <sheetName val="_x0014_.12"/>
      <sheetName val="QD c5a HDQT (2)"/>
      <sheetName val="_x0003_hart1"/>
      <sheetName val="Song ban 0,7x0,7"/>
      <sheetName val="Cong ban 0,8x ,8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Kѭ284"/>
      <sheetName val="Khac DP"/>
      <sheetName val="Khoi than "/>
      <sheetName val="B3_208_than"/>
      <sheetName val="B3_208_TU"/>
      <sheetName val="B3_208_TW"/>
      <sheetName val="B3_208_DP"/>
      <sheetName val="B3_208_khac"/>
      <sheetName val="Thang8-02"/>
      <sheetName val="Thang9-02"/>
      <sheetName val="Thang10-02"/>
      <sheetName val="Thang11-02"/>
      <sheetName val="Thang12-02"/>
      <sheetName val="Thang01-03"/>
      <sheetName val="Thang02-03"/>
      <sheetName val="ESTI."/>
      <sheetName val="DI-ESTI"/>
      <sheetName val="xdcb 01-2003"/>
      <sheetName val="TDT-TBࡁ"/>
      <sheetName val="Áo"/>
      <sheetName val="Km&quot;80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gVL"/>
      <sheetName val="gìIÏÝ_x001c_Ã_x0008_ç¾{è"/>
      <sheetName val="Lap ®at ®hÖn"/>
      <sheetName val="7000 000"/>
      <sheetName val="[PNT-P3.xlsUTong hop (2)"/>
      <sheetName val="Km276 - Ke277"/>
      <sheetName val="[PNT-P3.xlsUKm279 - Km280"/>
      <sheetName val="Baocao"/>
      <sheetName val="UT"/>
      <sheetName val="TongHopHD"/>
      <sheetName val="Tong (op"/>
      <sheetName val="Coc 4ieu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Mp mai 275"/>
      <sheetName val="Package1"/>
      <sheetName val="Don gia"/>
      <sheetName val="GS02-thu0TM"/>
      <sheetName val="BCDSPS"/>
      <sheetName val="BCDKT"/>
      <sheetName val="ၔong hop QL48 - 2"/>
      <sheetName val="Km266"/>
      <sheetName val="TAU"/>
      <sheetName val="KHACH"/>
      <sheetName val="BC1"/>
      <sheetName val="BC2"/>
      <sheetName val="BAO CAO AN"/>
      <sheetName val="BANGKEKHACH"/>
      <sheetName val="Du tnan chi tiet coc nuoc"/>
      <sheetName val="Shaet13"/>
      <sheetName val="Nhap du lieu"/>
      <sheetName val=""/>
      <sheetName val="XNxlva sxthanKCIÉ"/>
      <sheetName val="Dong$bac"/>
      <sheetName val="_x000b_luong phu"/>
      <sheetName val="CV den trong to?g"/>
      <sheetName val="?0000000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30100000"/>
      <sheetName val="Op mai 2_x000c__x0000_"/>
      <sheetName val="_x0000_bÑi_x0003__x0000__x0000__x0000__x0000_²r_x0013__x0000_"/>
      <sheetName val="k, vt tho"/>
      <sheetName val="Km_x0012_77 "/>
      <sheetName val="ADKTKT02"/>
      <sheetName val="Ton 31.1"/>
      <sheetName val="NhapT.2"/>
      <sheetName val="Xuat T.2"/>
      <sheetName val="Ton 28.2"/>
      <sheetName val="H.Tra"/>
      <sheetName val="Hang CTY TRA LAI"/>
      <sheetName val="Hang NV Tra Lai"/>
      <sheetName val="CVden nw8ai TCT (1)"/>
      <sheetName val="Thang 07"/>
      <sheetName val="T10-05"/>
      <sheetName val="T9-05"/>
      <sheetName val="t805"/>
      <sheetName val="11T"/>
      <sheetName val="9T"/>
      <sheetName val="mua vao"/>
      <sheetName val="chi phi "/>
      <sheetName val="ban ra 10%"/>
      <sheetName val="??-BLDG"/>
      <sheetName val="tt chu don"/>
      <sheetName val="P210-TP20"/>
      <sheetName val="CB32"/>
      <sheetName val="Km280 ࠭ Km281"/>
      <sheetName val="_x0000__x000d__x0000__x0000__x0000_âO"/>
      <sheetName val="_x0000__x000f__x0000__x0000__x0000_½"/>
      <sheetName val="_x0000__x0000_²r"/>
      <sheetName val="_x0000__x0000__x0000__x0000__x0000_M pc_x0006__x0000__x0000_CamPh_x0000__x0000_"/>
      <sheetName val="bc"/>
      <sheetName val="K.O"/>
      <sheetName val="xang _clc"/>
      <sheetName val="X¡NG_td"/>
      <sheetName val="MaZUT"/>
      <sheetName val="DIESEL"/>
      <sheetName val="Sÿÿÿÿ"/>
      <sheetName val="quÿÿ"/>
      <sheetName val="Diem mon hoc"/>
      <sheetName val="Tong hop diem"/>
      <sheetName val="HoTen-khong duoc xoa"/>
      <sheetName val="gia x_x0000_ may"/>
      <sheetName val="Cac cang UT mua thal Dong bac"/>
      <sheetName val="thaß26"/>
      <sheetName val="Cong ban 1,5„—_x0013__x0000_"/>
      <sheetName val="nam2004"/>
      <sheetName val="TNghiÖ- VL"/>
      <sheetName val="K-280 - Km281"/>
      <sheetName val="Xa9lap "/>
      <sheetName val="CDPS3"/>
      <sheetName val="tuong"/>
      <sheetName val="DG 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120"/>
      <sheetName val="IFAD"/>
      <sheetName val="CVHN"/>
      <sheetName val="TCVM"/>
      <sheetName val="RIDP"/>
      <sheetName val="LDNN"/>
      <sheetName val="VÃt liÖu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K?284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- vu"/>
      <sheetName val="Ho la "/>
      <sheetName val="_x000c__x0000__x0000__x0000__x0000__x0000__x0000__x0000__x000d__x0000__x0000__x0000_"/>
      <sheetName val="chie԰_x0000__x0000__x0000_Ȁ_x0000_"/>
      <sheetName val="Cong baj 2x1,5"/>
      <sheetName val="_x0000__x000f__x0000__x0000__x0000_‚ž½"/>
      <sheetName val="_x0000__x000d__x0000__x0000__x0000_âOŽ"/>
      <sheetName val="QD cua HDQ²_x0000__x0000_)"/>
      <sheetName val="CTT NuiC_x000f_eo"/>
      <sheetName val="GS08)B.hµng"/>
      <sheetName val="tldm190337,8"/>
      <sheetName val="Giao nhÿÿÿÿvu"/>
      <sheetName val="⁋㌱Ա_x0000_䭔㌱س_x0000_䭔ㄠㄴ_x0006_牴湯⁧琠湯౧_x0000_杮楨搠湩⵨偃_x0006_匀敨瑥"/>
      <sheetName val="QD cua "/>
      <sheetName val="DC2@ï4"/>
      <sheetName val="_x0003_har"/>
      <sheetName val="[PNT-P3.xls]XXXXX\XX"/>
      <sheetName val="Cong ban 1,5_x0013_"/>
      <sheetName val="XXXXX_XX"/>
      <sheetName val="Bang VL"/>
      <sheetName val="VL(No V-c)"/>
      <sheetName val="He so"/>
      <sheetName val="PL Vua"/>
      <sheetName val="DC0#"/>
      <sheetName val="T[ 131"/>
      <sheetName val="Tong hop$Op mai"/>
      <sheetName val="t01.06"/>
      <sheetName val="MTL$-INTER"/>
      <sheetName val="Cong ban 0,7p0,7"/>
      <sheetName val="Km275 - Ke276"/>
      <sheetName val="Km280 - Km2(1"/>
      <sheetName val="I"/>
      <sheetName val="Chitieu-dam cac loai"/>
      <sheetName val="DG Dam"/>
      <sheetName val="DG chung"/>
      <sheetName val="DGdg"/>
      <sheetName val="TDT-TB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 refreshError="1"/>
      <sheetData sheetId="430"/>
      <sheetData sheetId="431"/>
      <sheetData sheetId="432"/>
      <sheetData sheetId="433"/>
      <sheetData sheetId="434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/>
      <sheetData sheetId="464"/>
      <sheetData sheetId="465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/>
      <sheetData sheetId="531"/>
      <sheetData sheetId="532"/>
      <sheetData sheetId="533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/>
      <sheetData sheetId="630" refreshError="1"/>
      <sheetData sheetId="631"/>
      <sheetData sheetId="632"/>
      <sheetData sheetId="633" refreshError="1"/>
      <sheetData sheetId="634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/>
      <sheetData sheetId="689" refreshError="1"/>
      <sheetData sheetId="690" refreshError="1"/>
      <sheetData sheetId="691"/>
      <sheetData sheetId="692"/>
      <sheetData sheetId="693" refreshError="1"/>
      <sheetData sheetId="694" refreshError="1"/>
      <sheetData sheetId="695"/>
      <sheetData sheetId="696" refreshError="1"/>
      <sheetData sheetId="697"/>
      <sheetData sheetId="698" refreshError="1"/>
      <sheetData sheetId="699"/>
      <sheetData sheetId="700" refreshError="1"/>
      <sheetData sheetId="701"/>
      <sheetData sheetId="702" refreshError="1"/>
      <sheetData sheetId="703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/>
      <sheetData sheetId="715" refreshError="1"/>
      <sheetData sheetId="716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 refreshError="1"/>
      <sheetData sheetId="7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FORM FOR INQUIRY"/>
      <sheetName val="FORM OF PROPOSAL RFP-003"/>
      <sheetName val="??-BLDG"/>
      <sheetName val="???????-BLDG"/>
      <sheetName val="2001"/>
      <sheetName val="2002"/>
      <sheetName val="Tong hop"/>
      <sheetName val="Apr1"/>
      <sheetName val="Apr2"/>
      <sheetName val="Apr3"/>
      <sheetName val="Apr4"/>
      <sheetName val="Apr5"/>
      <sheetName val="Apr7"/>
      <sheetName val="Apr8"/>
      <sheetName val="Apr9"/>
      <sheetName val="Sheet1"/>
      <sheetName val="XL4Poppy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Outlets"/>
      <sheetName val="PGs"/>
      <sheetName val="BCDPS"/>
      <sheetName val="NKC "/>
      <sheetName val="TM1"/>
      <sheetName val="SC 111"/>
      <sheetName val="NH"/>
      <sheetName val="SC 131"/>
      <sheetName val="SC 133"/>
      <sheetName val="SC 141"/>
      <sheetName val="SC 152"/>
      <sheetName val="SC154"/>
      <sheetName val="SC 331"/>
      <sheetName val="SC333"/>
      <sheetName val="Sc 334"/>
      <sheetName val="SC 411"/>
      <sheetName val="SC 511"/>
      <sheetName val="SC 642 loan"/>
      <sheetName val="SCT642"/>
      <sheetName val="Sheet3"/>
      <sheetName val="211A"/>
      <sheetName val="211B"/>
      <sheetName val="SCT511"/>
      <sheetName val="SCT627"/>
      <sheetName val="SCT154"/>
      <sheetName val="Sheet5"/>
      <sheetName val="Hoi phu nu"/>
      <sheetName val="4p1"/>
      <sheetName val="4P"/>
      <sheetName val="Schneider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4"/>
      <sheetName val="Sheet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00000000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Tu van Thiet ke"/>
      <sheetName val="Tien do thi cong"/>
      <sheetName val="Bia du toan"/>
      <sheetName val="Tro giup"/>
      <sheetName val="Config"/>
      <sheetName val="Q1-02"/>
      <sheetName val="Q2-02"/>
      <sheetName val="Q3-02"/>
      <sheetName val="LUONG CHO HUU"/>
      <sheetName val="thu BHXH,YT"/>
      <sheetName val="Phan bo"/>
      <sheetName val="Luong T5-04"/>
      <sheetName val="THLK2"/>
      <sheetName val="________BLDG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Bia "/>
      <sheetName val="Muc luc"/>
      <sheetName val="Thuyet minh PA1"/>
      <sheetName val="kl xaychan khay"/>
      <sheetName val="????-BLDG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Tdoi t.truong"/>
      <sheetName val="BC DBKH T5"/>
      <sheetName val="BC DBKH T6"/>
      <sheetName val="BC DBKH T7"/>
      <sheetName val="XL4Test5"/>
      <sheetName val="GVL"/>
      <sheetName val="tam"/>
      <sheetName val="PTDG"/>
      <sheetName val="DTCT"/>
      <sheetName val="DGBQ"/>
      <sheetName val="DGDT"/>
      <sheetName val="Gia trung thau"/>
      <sheetName val="Thanh toan dot 1"/>
      <sheetName val="DTXL"/>
      <sheetName val="THXL"/>
      <sheetName val="dieuphoida"/>
      <sheetName val="dieuphoidat"/>
      <sheetName val="Phan tich VT"/>
      <sheetName val="TKe VT"/>
      <sheetName val="Du tru Vat tu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Mau 1"/>
      <sheetName val="Mau so 2"/>
      <sheetName val="Mau so 3"/>
      <sheetName val="Mau so 7"/>
      <sheetName val="Mau so 8"/>
      <sheetName val="Mau so 9 da tru 45;54"/>
      <sheetName val="Mau so 9 45;54"/>
      <sheetName val="Mau 9 "/>
      <sheetName val="Mau 9 goc"/>
      <sheetName val="Mau 10"/>
      <sheetName val="Mau so 11"/>
      <sheetName val="Ga"/>
      <sheetName val="Ca"/>
      <sheetName val="rau"/>
      <sheetName val="Thit"/>
      <sheetName val="Gia vi"/>
      <sheetName val="Gao"/>
      <sheetName val="Quyet toan1"/>
      <sheetName val="Quyet Toan2"/>
      <sheetName val="TH"/>
      <sheetName val="T.hopCPXD04"/>
      <sheetName val="T.hopCPXD04 (2)"/>
      <sheetName val="T.hopCPXDhoanthanh"/>
      <sheetName val="T.hopCPXDhoanthanh (2)"/>
      <sheetName val="HTcpXDQ1"/>
      <sheetName val="T.hop CPXDQ2"/>
      <sheetName val="CpQI"/>
      <sheetName val="CpT4"/>
      <sheetName val="CpT5"/>
      <sheetName val="CpT6"/>
      <sheetName val="CpT7"/>
      <sheetName val="CpT8"/>
      <sheetName val="Cpdc8t (2)"/>
      <sheetName val="Cpdc8t"/>
      <sheetName val="Cpdc8t (3)"/>
      <sheetName val="CpT9"/>
      <sheetName val="CpT10"/>
      <sheetName val="CpT11"/>
      <sheetName val="LK cp xdcb"/>
      <sheetName val="XDCB hoanthanh"/>
      <sheetName val="Sheet2 (3)"/>
      <sheetName val="Sheet3 (3)"/>
      <sheetName val="Sheet2 (4)"/>
      <sheetName val="Sheet3 (4)"/>
      <sheetName val="SC 231"/>
      <sheetName val="SC 410"/>
      <sheetName val="CQ"/>
      <sheetName val="YV"/>
      <sheetName val="Tong 2 Dvi"/>
      <sheetName val="Hnoi"/>
      <sheetName val="Gbat"/>
      <sheetName val="HP"/>
      <sheetName val="Lcai"/>
      <sheetName val="BSon"/>
      <sheetName val="NDan"/>
      <sheetName val="NHa"/>
      <sheetName val="Lson"/>
      <sheetName val="SGon"/>
      <sheetName val="VPhu"/>
      <sheetName val="Thop 1"/>
      <sheetName val="Thop 2"/>
      <sheetName val="Bao cao"/>
      <sheetName val="__-BLDG"/>
      <sheetName val="_______-BLDG"/>
      <sheetName val="____-BLDG"/>
      <sheetName val="?¬’P‰¿ì¬?-BLDG"/>
      <sheetName val="?¬P¿ì¬?-BLDG"/>
      <sheetName val="?쒕?-BLDG"/>
      <sheetName val="Bang ngang"/>
      <sheetName val="Bang doc"/>
      <sheetName val="B cham cong"/>
      <sheetName val="Btt luong"/>
      <sheetName val="??????-BLDG"/>
      <sheetName val="BOQ FORM FOR INQÕIRY"/>
      <sheetName val="HUNG"/>
      <sheetName val="THO"/>
      <sheetName val="HOA"/>
      <sheetName val="TINH"/>
      <sheetName val="THONG"/>
      <sheetName val="XXXXXXX0"/>
      <sheetName val="XXXXXXX1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"/>
      <sheetName val="Dec#1"/>
      <sheetName val="thietbi"/>
      <sheetName val="?+Invoice!$DF$57?-BLDG"/>
      <sheetName val="MTL$-INTER"/>
      <sheetName val="=??????-BLDG"/>
      <sheetName val="10_x0000__x0000__x0000__x0000__x0000__x0000_"/>
      <sheetName val="De nghi thue TNDN2004"/>
      <sheetName val="to trinh dieu chinh thue"/>
      <sheetName val="Bang ke xin thanh toan nam 2005"/>
      <sheetName val="Bang ke xin thanh toan "/>
      <sheetName val="MAu so 11 nam 2003"/>
      <sheetName val="dang ky tam tru can bo di CT"/>
      <sheetName val="Phieu xuat Vtu "/>
      <sheetName val="Phieu nhap Vtu "/>
      <sheetName val="Vat tu lan trai "/>
      <sheetName val="Vat T u can lam phieu T11+ 12"/>
      <sheetName val="Vat tu hung long "/>
      <sheetName val="Vat Tu Can Dung 2004"/>
      <sheetName val="xd. D.M tieu haoNL"/>
      <sheetName val="Du kien nop NS 2004 CV463"/>
      <sheetName val="mau 02ATNDN"/>
      <sheetName val="Nop tien vao NS"/>
      <sheetName val="QTSDhoa don M01"/>
      <sheetName val="BCSD Hdon Mau 26"/>
      <sheetName val="MAU SO 05"/>
      <sheetName val="MAU SO 04"/>
      <sheetName val="TH Mau 03"/>
      <sheetName val="MAU SO 03"/>
      <sheetName val="MAU SO 02"/>
      <sheetName val="Mau So 01"/>
      <sheetName val="Chi tiet SD may CT 2004"/>
      <sheetName val="Bang ke hoa don xin vay NH"/>
      <sheetName val="TK821"/>
      <sheetName val="TK 721"/>
      <sheetName val=" TK 711"/>
      <sheetName val="  TK 642"/>
      <sheetName val=" TK 627"/>
      <sheetName val="Su dung may "/>
      <sheetName val="TK 623"/>
      <sheetName val="Chi tiet ca may "/>
      <sheetName val="Chi tiet NC tung CT 04"/>
      <sheetName val=" TK 622"/>
      <sheetName val="TK 621"/>
      <sheetName val="TK 154 D,Dang sang 2005"/>
      <sheetName val="DT da bao cao thue "/>
      <sheetName val="Doanh thu 2004"/>
      <sheetName val="Chi tiet DT dieu chinh thue "/>
      <sheetName val="bang ke chi tiet CT"/>
      <sheetName val="Chi phi do dang"/>
      <sheetName val="Can doi chi phi CT"/>
      <sheetName val="Chi tiet 511"/>
      <sheetName val=" TK 511"/>
      <sheetName val="TK 411"/>
      <sheetName val="TK 421"/>
      <sheetName val="TK 342"/>
      <sheetName val="TK 338"/>
      <sheetName val=" TK 334"/>
      <sheetName val="TK 333"/>
      <sheetName val="Chi tiet 331"/>
      <sheetName val="TK 331"/>
      <sheetName val=" TK 311"/>
      <sheetName val=" TK 241"/>
      <sheetName val=" TK 214"/>
      <sheetName val="Thue Tai Chinh may suc "/>
      <sheetName val=" TK 211"/>
      <sheetName val="TK 212( May suc )"/>
      <sheetName val="TK 632"/>
      <sheetName val="TK 155"/>
      <sheetName val="TK 154"/>
      <sheetName val=" TK 911"/>
      <sheetName val=" TK 153"/>
      <sheetName val="Chi tiet 152 "/>
      <sheetName val="  TK 152"/>
      <sheetName val="TK 142"/>
      <sheetName val=" TK 141"/>
      <sheetName val=" TK 133"/>
      <sheetName val="Chi tiet 131"/>
      <sheetName val=" TK 131"/>
      <sheetName val="chung tu ghi so "/>
      <sheetName val=" TK 112"/>
      <sheetName val="Can doi TK 2"/>
      <sheetName val="phieu chi 2"/>
      <sheetName val="Phieu chi"/>
      <sheetName val="Phieu thu"/>
      <sheetName val="TK 111"/>
      <sheetName val="dang ky khau hao 2004"/>
      <sheetName val="d ky chi tiet khau hao "/>
      <sheetName val="Phan bo khau hao TSCD"/>
      <sheetName val="Dang ky quy luong "/>
      <sheetName val="bang thanh toan luong 2004"/>
      <sheetName val="Phan bo tien luong BHXH"/>
      <sheetName val="phan bo NVL, CCu "/>
      <sheetName val="DA0463BQ"/>
      <sheetName val="Chi tiet don gia khgi phuc"/>
      <sheetName val="Chart1"/>
      <sheetName val="DI-ESTI"/>
      <sheetName val="PTDGDT"/>
      <sheetName val="Overhead &amp; Profit B-1"/>
      <sheetName val="quy 1"/>
      <sheetName val="quy 2"/>
      <sheetName val="6 thang"/>
      <sheetName val="quy 3"/>
      <sheetName val="9 TH"/>
      <sheetName val="quy4"/>
      <sheetName val="nam"/>
      <sheetName val="Sheet11"/>
      <sheetName val="Sheet12"/>
      <sheetName val="KhanhThuong"/>
      <sheetName val="PlotDat4"/>
      <sheetName val="TSCD"/>
      <sheetName val="Hoi phe nu"/>
      <sheetName val="THANG#"/>
      <sheetName val="Sheet("/>
      <sheetName val="Sheed7"/>
      <sheetName val="A`r3"/>
      <sheetName val="Apb4"/>
      <sheetName val="Sc #34"/>
      <sheetName val="V_x000c_(No V-c)"/>
      <sheetName val="BCDP_x0005_"/>
      <sheetName val="NKC _x0003__x0000__x0000_TM1_x0006__x0000__x0000_SC 111_x0002__x0000__x0000_NH_x0006__x0000__x0000_SC 1"/>
      <sheetName val="FORM OF PROPNSAL RFP-003"/>
      <sheetName val="PHANG5"/>
      <sheetName val="Disch"/>
      <sheetName val="Pack"/>
      <sheetName val="Delivery"/>
      <sheetName val="M50"/>
      <sheetName val="M48"/>
      <sheetName val="M45"/>
      <sheetName val="M38"/>
      <sheetName val="D.Order"/>
      <sheetName val="Report"/>
      <sheetName val="Report.Delivery"/>
      <sheetName val="Monthly"/>
      <sheetName val="_x0001_pr2"/>
      <sheetName val="T.hopCPXDho_x0000_n_x0000_hanh (2)"/>
      <sheetName val="LK cp _x0000_dcb"/>
      <sheetName val="GDTH_x0000_5"/>
      <sheetName val="Ph_x0000_n_x0000__x0000_ich _x0000_a_x0000_ tu"/>
      <sheetName val="MAU QT 2005"/>
      <sheetName val="LUONG"/>
      <sheetName val="MAU 2A"/>
      <sheetName val="MAU 2B"/>
      <sheetName val="TH1"/>
      <sheetName val="TH2"/>
      <sheetName val="TH3"/>
      <sheetName val="TH4"/>
      <sheetName val="TH5"/>
      <sheetName val="TH6"/>
      <sheetName val="TH7"/>
      <sheetName val="TH8"/>
      <sheetName val="TH9"/>
      <sheetName val="TH10"/>
      <sheetName val="TH11"/>
      <sheetName val="TH12"/>
      <sheetName val="TONG 12t"/>
      <sheetName val="TONG 2005"/>
      <sheetName val="KIEMTRA"/>
      <sheetName val="Coc40x40c-"/>
      <sheetName val="Han13"/>
      <sheetName val="Sheet17"/>
      <sheetName val="Sheet13"/>
      <sheetName val="Sheet14"/>
      <sheetName val="Sheet15"/>
      <sheetName val="Sheet16"/>
      <sheetName val="??+Invoice!$DF$57?????-BLDG"/>
      <sheetName val="N@"/>
      <sheetName val="Don gaa chi tiet"/>
      <sheetName val="XL4Poppq"/>
      <sheetName val="FH"/>
      <sheetName val="FORM OF PROPOSAL RFP-00Ê"/>
      <sheetName val="Chiet tinh dz22"/>
      <sheetName val="Sheat4"/>
      <sheetName val="?öm÷²??öm?-BLDG"/>
      <sheetName val="T.@_x000c__x0000__x0001__x0000__x0000__x0000__x0003_Ú_x0000__x0000_&lt;_x001f__x0000__x0000__x0000_"/>
      <sheetName val="TIEUHAO"/>
      <sheetName val="VL(No V-c)_x0005__x0000__x0000_X"/>
      <sheetName val="NhapHD"/>
      <sheetName val="INHOADON"/>
      <sheetName val="DataSource"/>
      <sheetName val="Danhsach KH"/>
      <sheetName val="GIA VON"/>
      <sheetName val="DS 11"/>
      <sheetName val="Module2"/>
      <sheetName val="BC"/>
      <sheetName val="SC_x0000_133"/>
      <sheetName val="QC 152"/>
      <sheetName val="SC 41_x0011_"/>
      <sheetName val="SC _x0014_42 loan"/>
      <sheetName val="SCT_x0011_54"/>
      <sheetName val="CT aong"/>
      <sheetName val="²_x0000__x0000_AI TK 112"/>
      <sheetName val="TK Ngoai b!ng"/>
      <sheetName val="TMinh BC T_x0001_"/>
      <sheetName val="So _x0004_GNH "/>
      <sheetName val="XL4Wÿÿÿÿ"/>
      <sheetName val="Chi tiet dmn gia khoi phuc"/>
      <sheetName val="DG"/>
      <sheetName val="CT 1md &amp; dau conM"/>
      <sheetName val="Tro gaup"/>
      <sheetName val="9 toan"/>
      <sheetName val="IBASE"/>
      <sheetName val="Phan bo k_x0005__x0000__x0000__x0000__x0002__x0000_"/>
      <sheetName val="Phan bo k"/>
      <sheetName val="??-BLD聇"/>
      <sheetName val="Phan tich don gia chi&quot;tiet"/>
      <sheetName val="10??????"/>
      <sheetName val="?¬’P‰¿_x0000__x0000_¬?-BLDG"/>
      <sheetName val="phan bo _x0005__x0000__x0000__x0000__x0002__x0000_낟꼉飘"/>
      <sheetName val="phan bo "/>
      <sheetName val="Chi p`i van chuyen"/>
      <sheetName val="DG "/>
      <sheetName val="10?"/>
      <sheetName val="Overhead &amp; "/>
      <sheetName val="Overhead &amp; Ԁ_x0000__x0000__x0000_"/>
      <sheetName val="Overhead &amp; Ԁ_x0000__x0000__x0000_Ȁ"/>
      <sheetName val="Overhead &amp; ?_x0000__x0000__x0000_?"/>
      <sheetName val="BOQ_FORM_FOR_INQUIRY"/>
      <sheetName val="FORM_OF_PROPOSAL_RFP-003"/>
      <sheetName val="THANG_8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Phan_tich_VT"/>
      <sheetName val="TKe_VT"/>
      <sheetName val="Du_tru_Vat_tu"/>
      <sheetName val="Du_toan"/>
      <sheetName val="Phan_tich_vat_tu"/>
      <sheetName val="Tong_hop_vat_tu"/>
      <sheetName val="Gia_tri_vat_tu"/>
      <sheetName val="Chenh_lech_vat_tu"/>
      <sheetName val="Chi_phi_van_chuyen"/>
      <sheetName val="Don_gia_chi_tiet"/>
      <sheetName val="Du_thau"/>
      <sheetName val="Tong_hop_kinh_phi"/>
      <sheetName val="Tu_van_Thiet_ke"/>
      <sheetName val="Tien_do_thi_cong"/>
      <sheetName val="Bia_du_toan"/>
      <sheetName val="Tro_giup"/>
      <sheetName val="NKC_"/>
      <sheetName val="SC_111"/>
      <sheetName val="SC_131"/>
      <sheetName val="SC_133"/>
      <sheetName val="SC_141"/>
      <sheetName val="SC_152"/>
      <sheetName val="SC_331"/>
      <sheetName val="Sc_334"/>
      <sheetName val="SC_411"/>
      <sheetName val="SC_511"/>
      <sheetName val="SC_642_loan"/>
      <sheetName val="Hoi_phu_nu"/>
      <sheetName val="Tdoi_t_truong"/>
      <sheetName val="BC_DBKH_T5"/>
      <sheetName val="BC_DBKH_T6"/>
      <sheetName val="BC_DBKH_T7"/>
      <sheetName val="Bia_"/>
      <sheetName val="Muc_luc"/>
      <sheetName val="Thuyet_minh_PA1"/>
      <sheetName val="kl_xaychan_khay"/>
      <sheetName val="BOQ_FORM_FOR_INQÕIRY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Luong_T5-04"/>
      <sheetName val="Can_doi_TK_(2)"/>
      <sheetName val="De_nghi_thue_TNDN2004"/>
      <sheetName val="to_trinh_dieu_chinh_thue"/>
      <sheetName val="Bang_ke_xin_thanh_toan_nam_2005"/>
      <sheetName val="Bang_ke_xin_thanh_toan_"/>
      <sheetName val="MAu_so_11_nam_2003"/>
      <sheetName val="dang_ky_tam_tru_can_bo_di_CT"/>
      <sheetName val="Phieu_xuat_Vtu_"/>
      <sheetName val="Phieu_nhap_Vtu_"/>
      <sheetName val="Vat_tu_lan_trai_"/>
      <sheetName val="Vat_T_u_can_lam_phieu_T11+_12"/>
      <sheetName val="Vat_tu_hung_long_"/>
      <sheetName val="Vat_Tu_Can_Dung_2004"/>
      <sheetName val="xd__D_M_tieu_haoNL"/>
      <sheetName val="Du_kien_nop_NS_2004_CV463"/>
      <sheetName val="mau_02ATNDN"/>
      <sheetName val="Nop_tien_vao_NS"/>
      <sheetName val="QTSDhoa_don_M01"/>
      <sheetName val="BCSD_Hdon_Mau_26"/>
      <sheetName val="MAU_SO_05"/>
      <sheetName val="MAU_SO_04"/>
      <sheetName val="TH_Mau_03"/>
      <sheetName val="MAU_SO_03"/>
      <sheetName val="MAU_SO_02"/>
      <sheetName val="Mau_So_01"/>
      <sheetName val="Chi_tiet_SD_may_CT_2004"/>
      <sheetName val="Bang_ke_hoa_don_xin_vay_NH"/>
      <sheetName val="TK_721"/>
      <sheetName val="_TK_711"/>
      <sheetName val="__TK_642"/>
      <sheetName val="_TK_627"/>
      <sheetName val="Su_dung_may_"/>
      <sheetName val="TK_623"/>
      <sheetName val="Chi_tiet_ca_may_"/>
      <sheetName val="10_x0000_"/>
      <sheetName val="T.@_x000c__x0000__x0001__x0000__x0003_Ú_x0000_&lt;_x001f__x0000_"/>
      <sheetName val="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 refreshError="1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/>
      <sheetData sheetId="458"/>
      <sheetData sheetId="459" refreshError="1"/>
      <sheetData sheetId="460"/>
      <sheetData sheetId="461" refreshError="1"/>
      <sheetData sheetId="462" refreshError="1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 refreshError="1"/>
      <sheetData sheetId="482"/>
      <sheetData sheetId="483"/>
      <sheetData sheetId="484"/>
      <sheetData sheetId="485" refreshError="1"/>
      <sheetData sheetId="486" refreshError="1"/>
      <sheetData sheetId="487"/>
      <sheetData sheetId="488" refreshError="1"/>
      <sheetData sheetId="489"/>
      <sheetData sheetId="490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 REV.2(ARMOR)"/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SUM-BQ-REV.2"/>
      <sheetName val="chi tiet "/>
      <sheetName val="chi tiet huong"/>
      <sheetName val="TH"/>
      <sheetName val="TH (2)"/>
      <sheetName val="Sheet3"/>
      <sheetName val="XL4Poppy"/>
      <sheetName val="nhap"/>
      <sheetName val="TL3-2002"/>
      <sheetName val="9015"/>
      <sheetName val="0502"/>
      <sheetName val="2213"/>
      <sheetName val="7270"/>
      <sheetName val="8672"/>
      <sheetName val="3027"/>
      <sheetName val="3810"/>
      <sheetName val="8523"/>
      <sheetName val="MAU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VENDOR-QUKTES"/>
      <sheetName val="kl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KHQ II"/>
      <sheetName val="0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PV"/>
      <sheetName val="DGCM"/>
      <sheetName val="TL-I"/>
      <sheetName val="chitiet"/>
      <sheetName val="THG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Che co"/>
      <sheetName val="chiet tinh che co"/>
      <sheetName val="ban cao"/>
      <sheetName val="Chiet tinh bancao"/>
      <sheetName val="ban cuon"/>
      <sheetName val="chiet tinh ban cuon"/>
      <sheetName val="ban lai"/>
      <sheetName val="chiet tinh ban lai"/>
      <sheetName val="na khoa"/>
      <sheetName val="chiet tinh nakhoa"/>
      <sheetName val="na ngam"/>
      <sheetName val="chiet tinh nangam"/>
      <sheetName val="chiet tinh phia lem"/>
      <sheetName val="phi lem"/>
      <sheetName val="Congty"/>
      <sheetName val="VPPN"/>
      <sheetName val="XN74"/>
      <sheetName val="XN54"/>
      <sheetName val="XN33"/>
      <sheetName val="NK96"/>
      <sheetName val="XL4Test5"/>
      <sheetName val="5 nam (tach)"/>
      <sheetName val="5 nam (tach) (2)"/>
      <sheetName val="KH 2003"/>
      <sheetName val="10000000"/>
      <sheetName val="20000000"/>
      <sheetName val="HR SWGR &amp; MCC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T Cap phoi"/>
      <sheetName val="btnhtru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ietKe"/>
      <sheetName val="HoSoMT"/>
      <sheetName val="GiamSat"/>
      <sheetName val="ThamDinhTKKT"/>
      <sheetName val="ThamDinhDT"/>
      <sheetName val="QLDA"/>
      <sheetName val="TM"/>
      <sheetName val="TM (2)"/>
      <sheetName val="KPTH"/>
      <sheetName val="KPTH (2)"/>
      <sheetName val="Noi Suy"/>
      <sheetName val="Bia"/>
      <sheetName val="Bia (2)"/>
      <sheetName val="Gia NC"/>
      <sheetName val="00000001"/>
      <sheetName val="00000002"/>
      <sheetName val="30000000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ᄀ_x0000__x0000_䅀ᄀ_x0000__x0000_䅀ᄀ_x0000__x0000_䅀ᄀ_x0000__x0000_䅀ᄀ_x0000__x0000_䅀_x0000_䅀ᘀŀ_x0000_䅀ᘀŀ_x0000_䅀ᘀ"/>
      <sheetName val="tong hop"/>
      <sheetName val="phan tich DG"/>
      <sheetName val="gia vat lieu"/>
      <sheetName val="gia xe may"/>
      <sheetName val="gia nhan cong"/>
      <sheetName val="DC1605"/>
      <sheetName val="DcnamTV"/>
      <sheetName val="ppnamdaibieu"/>
      <sheetName val="TyleAdreyanop"/>
      <sheetName val="ppAdreyanop"/>
      <sheetName val="ketqua"/>
      <sheetName val="maxminth"/>
      <sheetName val="Dautu"/>
      <sheetName val="Dautu1"/>
      <sheetName val="BaDinh"/>
      <sheetName val="BaDinh1"/>
      <sheetName val="Nongnghiep"/>
      <sheetName val="Nongnghiep 1"/>
      <sheetName val="BaDinhvay"/>
      <sheetName val="BaDinhvay1"/>
      <sheetName val="Dautuvay"/>
      <sheetName val="BaDinhtrano"/>
      <sheetName val="Daututrano"/>
      <sheetName val="Tranodaihan"/>
      <sheetName val="Tranodaihan 1"/>
      <sheetName val="Daututhang6"/>
      <sheetName val="Daututhang7"/>
      <sheetName val="Daututhang8"/>
      <sheetName val="Daututhang9"/>
      <sheetName val="Daututhang10 "/>
      <sheetName val="Daututhang11"/>
      <sheetName val="Daututhang12"/>
      <sheetName val="BaDinhthang6"/>
      <sheetName val="BaDinhthang7"/>
      <sheetName val="BaDinhthang8"/>
      <sheetName val="BaDinhthang9"/>
      <sheetName val="BaDinhthang10"/>
      <sheetName val="BaDinhthang11"/>
      <sheetName val="BaDinhthang12"/>
      <sheetName val="Nongnghiep8"/>
      <sheetName val="Nongnghiep9"/>
      <sheetName val="Nongnghiep10"/>
      <sheetName val="Nongnghiep11"/>
      <sheetName val="Nongnghiep12"/>
      <sheetName val="Bangkevay"/>
      <sheetName val="UNCBD"/>
      <sheetName val="UNCNN"/>
      <sheetName val="UNCBD1"/>
      <sheetName val="KM20-21"/>
      <sheetName val="KM21-22"/>
      <sheetName val="KM22-23"/>
      <sheetName val="KM23-24"/>
      <sheetName val="KM24-25"/>
      <sheetName val="KM25-26"/>
      <sheetName val="KM26-27"/>
      <sheetName val="KM27-28"/>
      <sheetName val="KM28-29"/>
      <sheetName val="TCB2km27-28(T)"/>
      <sheetName val="TCB2km27-28 (R)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ang 7"/>
      <sheetName val="TK111"/>
      <sheetName val="thang 1"/>
      <sheetName val="Thang 2"/>
      <sheetName val="thang 3"/>
      <sheetName val="thang 4"/>
      <sheetName val="thang 5"/>
      <sheetName val="thang 6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Km63 Ql8A"/>
      <sheetName val="BSQL8"/>
      <sheetName val="QL7t6"/>
      <sheetName val="BSQL7"/>
      <sheetName val="Dchau"/>
      <sheetName val="BSDien chau"/>
      <sheetName val="LTG"/>
      <sheetName val="L GT"/>
      <sheetName val="L lai xe"/>
      <sheetName val="XD1"/>
      <sheetName val="XD2"/>
      <sheetName val="XD3"/>
      <sheetName val="Xmay"/>
      <sheetName val="ong sang"/>
      <sheetName val="OS"/>
      <sheetName val="Thue ng"/>
      <sheetName val="THL"/>
      <sheetName val="Tr BH"/>
      <sheetName val="km66 ql8a"/>
      <sheetName val="Vuot ql1a"/>
      <sheetName val="BS vuot 1A"/>
      <sheetName val="Tru BH"/>
      <sheetName val="BSQL7A"/>
      <sheetName val="။H 12-1"/>
      <sheetName val="MTO REV_2_ARMOR_"/>
      <sheetName val="WEATHER P_x0003__x0000_OF LTG. &amp; ROD LTG."/>
      <sheetName val="TH-CD"/>
      <sheetName val="TH-CDB"/>
      <sheetName val="KL-CD"/>
      <sheetName val="chiakhoi"/>
      <sheetName val="CDP3"/>
      <sheetName val="CD7"/>
      <sheetName val="CD6"/>
      <sheetName val="CD5"/>
      <sheetName val="CD4"/>
      <sheetName val="CD3"/>
      <sheetName val="CD2"/>
      <sheetName val="CD1"/>
      <sheetName val="CDP4"/>
      <sheetName val="CDB5"/>
      <sheetName val="CDB4"/>
      <sheetName val="CDB3"/>
      <sheetName val="CDB2"/>
      <sheetName val="CDB1"/>
      <sheetName val="CDP4(KT)"/>
      <sheetName val="CDB5(KT)"/>
      <sheetName val="CDB4(KT)"/>
      <sheetName val="CDB3(KT)"/>
      <sheetName val="CDB2(KT)"/>
      <sheetName val="CDB1(KT)"/>
      <sheetName val="Kh4("/>
      <sheetName val="gia nhan cong_x0000__x0000__x0000__x0000__x0000__x0000__x0000__x0000__x0000__x0000__x0000__x0000_傰_x0000__x0004__x0000__x0000_"/>
      <sheetName val="RUILDING ELE."/>
      <sheetName val="DTCT"/>
      <sheetName val="PTVT"/>
      <sheetName val="THDT"/>
      <sheetName val="THVT"/>
      <sheetName val="THGT"/>
      <sheetName val="Sheet!4"/>
      <sheetName val="TH4"/>
      <sheetName val="TB4"/>
      <sheetName val="CT4"/>
      <sheetName val="CT3"/>
      <sheetName val="TH3"/>
      <sheetName val="TB3"/>
      <sheetName val="CT2"/>
      <sheetName val="TH2"/>
      <sheetName val="TB2"/>
      <sheetName val="CT1"/>
      <sheetName val="TH1"/>
      <sheetName val="TB1"/>
      <sheetName val="Duong cong vu hci (9;) (2)"/>
      <sheetName val="Hoan ã,anh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ᄀ"/>
      <sheetName val="NEW-PANEL"/>
      <sheetName val="20000000_x0000__x0000__x0000__x0000__x0000__x0000__x0000__x0000__x0000__x0000__x0000_♸Ģ_x0000__x0004__x0000__x0000__x0000__x0000__x0000__x0000_怨Ģ"/>
      <sheetName val=""/>
      <sheetName val="Duong cong vၵ hcm (7)"/>
      <sheetName val="DT"/>
      <sheetName val="CP"/>
      <sheetName val="BCT6"/>
      <sheetName val="SUM=BQ-REV.2"/>
      <sheetName val="NC"/>
      <sheetName val="dgnc1"/>
      <sheetName val="Gia VL den chan CT"/>
      <sheetName val="VL"/>
      <sheetName val="Khoi_Luong"/>
      <sheetName val="Don_Gia"/>
      <sheetName val="TB"/>
      <sheetName val="BT-Vua"/>
      <sheetName val="PHU LUC"/>
      <sheetName val="DcfamTV"/>
      <sheetName val="MTO REV..............nRE)"/>
      <sheetName val="BCD"/>
      <sheetName val="Nhat ky so cai"/>
      <sheetName val="BCCPSXthang"/>
      <sheetName val="BCCP Nam"/>
      <sheetName val="BCCPSXquy"/>
      <sheetName val="131"/>
      <sheetName val="111"/>
      <sheetName val="141"/>
      <sheetName val="142"/>
      <sheetName val="33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xl"/>
      <sheetName val="thopxlc"/>
      <sheetName val="thxlk"/>
      <sheetName val="vldien"/>
      <sheetName val="vlcaqu"/>
      <sheetName val="chitimc"/>
      <sheetName val="dien"/>
      <sheetName val="vcdd"/>
      <sheetName val="vcdn"/>
      <sheetName val="beton"/>
      <sheetName val="cpdbu"/>
      <sheetName val="chenh"/>
      <sheetName val="d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Sheet1"/>
      <sheetName val="Sheet2"/>
      <sheetName val="Sheet3"/>
      <sheetName val="Nhan cong`#/.g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CTN"/>
      <sheetName val="XXXXXXXX"/>
      <sheetName val="CHTT"/>
      <sheetName val="NLANCONGduong"/>
      <sheetName val="XL_x0014_Poppy"/>
      <sheetName val="VaoMavaKL"/>
      <sheetName val="VaoSL"/>
      <sheetName val="KQPTVL"/>
      <sheetName val="KQPTVLNgang"/>
      <sheetName val="DMCTDoiDonVi"/>
      <sheetName val="CMa"/>
      <sheetName val="NC"/>
      <sheetName val="MTC"/>
      <sheetName val="ဳ0000000"/>
      <sheetName val="Tra_bang"/>
      <sheetName val="DTCT"/>
      <sheetName val="XL4Poppy (2䀁"/>
      <sheetName val="DGduong"/>
      <sheetName val="PhatsiûÎ"/>
      <sheetName val="NHALCONGdu_x000f_ng"/>
      <sheetName val="Nha_x000e_ cong`#/.g"/>
      <sheetName val="TT"/>
      <sheetName val="THM"/>
      <sheetName val="THAT"/>
      <sheetName val="THTN"/>
      <sheetName val="THGC"/>
      <sheetName val="GCTL"/>
      <sheetName val="?0000000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TT35"/>
      <sheetName val="FHANCONGduong"/>
      <sheetName val="N`an cong cong"/>
      <sheetName val="XL4Poppy (2?"/>
      <sheetName val="Tai khoan"/>
      <sheetName val="CTGS"/>
      <sheetName val="GIAVL"/>
      <sheetName val="Bang_tra"/>
      <sheetName val="HE SO"/>
      <sheetName val="MTO REV.2(ARMOR)"/>
      <sheetName val="Nhan cong`#_.g"/>
      <sheetName val="Nha_x000e_ cong`#_.g"/>
      <sheetName val="_0000000"/>
      <sheetName val="XL4Poppy (2_"/>
      <sheetName val="gvl"/>
      <sheetName val="²_x0000__x0000_t4"/>
      <sheetName val="Chiet tinh dz35"/>
      <sheetName val="Sh_x0003__x0000_t3"/>
      <sheetName val="Cp&gt;10-Ln&lt;10"/>
      <sheetName val="Ln&lt;20"/>
      <sheetName val="EIRR&gt;1&lt;1"/>
      <sheetName val="EIRR&gt; 2"/>
      <sheetName val="EIRR&lt;2"/>
      <sheetName val="Dieuchinh"/>
      <sheetName val="Nhan_cong_cong"/>
      <sheetName val="XL4Poppy_(2)"/>
      <sheetName val="Nhan_cong`#/_g"/>
      <sheetName val="PHU_XUAN"/>
      <sheetName val="PHU_XUAN_(2)"/>
      <sheetName val="TRAN-TRUONGXUAN_(2)"/>
      <sheetName val="HOA_AN_(2)"/>
      <sheetName val="XL4Poppy_(2䀁"/>
      <sheetName val="XLPoppy"/>
      <sheetName val="N`an_cong_cong"/>
      <sheetName val="NHALCONGdung"/>
      <sheetName val="Nha_cong`#/_g"/>
      <sheetName val="Coc 32 m(Cho mo)"/>
      <sheetName val="²"/>
      <sheetName val="tra_vat_lieu"/>
      <sheetName val="Nhan ckng cong"/>
      <sheetName val="10_x0010_00000"/>
      <sheetName val="XL4Pop0y (2)"/>
      <sheetName val="Nhan cong`_x0003_/.g"/>
      <sheetName val="NHANCONGduo.g"/>
      <sheetName val="vlieu"/>
      <sheetName val="NHALCOJGduong"/>
      <sheetName val="TPAN-TRUONGXUAN"/>
      <sheetName val="S(eet12"/>
      <sheetName val="NHALÃONGduong"/>
      <sheetName val="Óheet1"/>
      <sheetName val="CÈTT"/>
      <sheetName val="TRAN-TÒUONGXUAN"/>
      <sheetName val="XXHXXXXX"/>
      <sheetName val="V!oSL"/>
      <sheetName val="ÄMCTDoiDonVi"/>
      <sheetName val="TSCD"/>
      <sheetName val="²??t4"/>
      <sheetName val="Sh_x0003_?t3"/>
      <sheetName val="uniBase"/>
      <sheetName val="vniBase"/>
      <sheetName val="abc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/>
      <sheetData sheetId="124" refreshError="1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/>
      <sheetData sheetId="165"/>
      <sheetData sheetId="166"/>
      <sheetData sheetId="167"/>
      <sheetData sheetId="16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N vua"/>
      <sheetName val="Tong hop"/>
      <sheetName val="DG chi tiet"/>
      <sheetName val="Vua"/>
      <sheetName val="Gia"/>
      <sheetName val="Nhan cong"/>
      <sheetName val="BTN min"/>
      <sheetName val="DDD"/>
      <sheetName val="BTN tho"/>
      <sheetName val="00000000"/>
      <sheetName val="10000000"/>
      <sheetName val="20000000"/>
      <sheetName val="30000000"/>
      <sheetName val="XL4Poppy"/>
      <sheetName val="Sheet2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-1"/>
      <sheetName val="Price-2"/>
      <sheetName val="PA-1"/>
      <sheetName val="PA-2"/>
      <sheetName val="SPL4"/>
      <sheetName val="TH-DS"/>
      <sheetName val="TMDT-PA1"/>
      <sheetName val="TMDT-PA2"/>
      <sheetName val="TH-DT"/>
      <sheetName val="Round"/>
      <sheetName val="Calculation"/>
      <sheetName val="SPL4-TOTAL"/>
      <sheetName val="CTyXD so1chaolai"/>
      <sheetName val="CTYXDso1(hc)"/>
      <sheetName val="Chenh KL"/>
      <sheetName val="Chenh KL (BT-Thep)"/>
      <sheetName val="Don gia chi tiet"/>
      <sheetName val="Du toan"/>
      <sheetName val="Phan tich vat tu"/>
      <sheetName val="Tong hop vat tu"/>
      <sheetName val="Gia tri vat tu"/>
      <sheetName val="Chenh lech vat tu"/>
      <sheetName val="Chi phi van chuyen"/>
      <sheetName val="Tong hop kinh phi"/>
      <sheetName val="Tu van Thiet ke"/>
      <sheetName val="Tien do thi cong"/>
      <sheetName val="Bia du toan"/>
      <sheetName val="Tro giup"/>
      <sheetName val="Config"/>
      <sheetName val="00000000"/>
      <sheetName val="10000000"/>
      <sheetName val="XL4Test5"/>
      <sheetName val="DI-ESTI"/>
    </sheetNames>
    <sheetDataSet>
      <sheetData sheetId="0"/>
      <sheetData sheetId="1"/>
      <sheetData sheetId="2"/>
      <sheetData sheetId="3"/>
      <sheetData sheetId="4" refreshError="1">
        <row r="7">
          <cell r="C7" t="str">
            <v>Hµ Giang</v>
          </cell>
          <cell r="D7">
            <v>1</v>
          </cell>
        </row>
        <row r="8">
          <cell r="C8" t="str">
            <v>Tuyªn Quang</v>
          </cell>
          <cell r="D8">
            <v>1</v>
          </cell>
        </row>
        <row r="9">
          <cell r="C9" t="str">
            <v>Cao B»ng</v>
          </cell>
          <cell r="D9">
            <v>1</v>
          </cell>
        </row>
        <row r="10">
          <cell r="C10" t="str">
            <v>L¹ng S¬n</v>
          </cell>
          <cell r="D10">
            <v>1</v>
          </cell>
        </row>
        <row r="11">
          <cell r="C11" t="str">
            <v>Lai Ch©u</v>
          </cell>
          <cell r="D11">
            <v>1</v>
          </cell>
        </row>
        <row r="12">
          <cell r="C12" t="str">
            <v>Lµo Cai</v>
          </cell>
          <cell r="D12">
            <v>1</v>
          </cell>
        </row>
        <row r="13">
          <cell r="C13" t="str">
            <v>Yªn B¸i</v>
          </cell>
        </row>
        <row r="14">
          <cell r="C14" t="str">
            <v>B¾c K¹n</v>
          </cell>
          <cell r="D14">
            <v>1</v>
          </cell>
        </row>
        <row r="15">
          <cell r="C15" t="str">
            <v>Th¸i Nguyªn</v>
          </cell>
          <cell r="D15">
            <v>1</v>
          </cell>
        </row>
        <row r="16">
          <cell r="C16" t="str">
            <v>S¬n La</v>
          </cell>
        </row>
        <row r="17">
          <cell r="C17" t="str">
            <v>Hßa B×nh</v>
          </cell>
        </row>
        <row r="18">
          <cell r="C18" t="str">
            <v>Phó Thä</v>
          </cell>
          <cell r="D18">
            <v>1</v>
          </cell>
        </row>
        <row r="19">
          <cell r="C19" t="str">
            <v>VÜnh Phóc</v>
          </cell>
          <cell r="D19">
            <v>1</v>
          </cell>
        </row>
        <row r="20">
          <cell r="C20" t="str">
            <v>B¾c Giang</v>
          </cell>
        </row>
        <row r="21">
          <cell r="C21" t="str">
            <v>B¾c Ninh</v>
          </cell>
        </row>
        <row r="22">
          <cell r="C22" t="str">
            <v>Qu¶ng Ninh</v>
          </cell>
        </row>
        <row r="23">
          <cell r="C23" t="str">
            <v>Hµ Néi</v>
          </cell>
        </row>
        <row r="24">
          <cell r="C24" t="str">
            <v>H¶i Phßng</v>
          </cell>
        </row>
        <row r="25">
          <cell r="C25" t="str">
            <v>H¶i D­¬ng</v>
          </cell>
        </row>
        <row r="26">
          <cell r="C26" t="str">
            <v>H­ng Yªn</v>
          </cell>
        </row>
        <row r="27">
          <cell r="C27" t="str">
            <v>Hµ T©y</v>
          </cell>
        </row>
        <row r="28">
          <cell r="C28" t="str">
            <v>Th¸i B×nh</v>
          </cell>
        </row>
        <row r="29">
          <cell r="C29" t="str">
            <v>Hµ Nam</v>
          </cell>
        </row>
        <row r="30">
          <cell r="C30" t="str">
            <v>Nam §Þnh</v>
          </cell>
        </row>
        <row r="31">
          <cell r="C31" t="str">
            <v>Ninh B×nh</v>
          </cell>
        </row>
        <row r="32">
          <cell r="C32" t="str">
            <v>Thanh Hãa</v>
          </cell>
          <cell r="D32">
            <v>1</v>
          </cell>
        </row>
        <row r="33">
          <cell r="C33" t="str">
            <v>NghÖ An</v>
          </cell>
          <cell r="D33">
            <v>1</v>
          </cell>
        </row>
        <row r="34">
          <cell r="C34" t="str">
            <v>Hµ TÜnh</v>
          </cell>
          <cell r="D34">
            <v>1</v>
          </cell>
        </row>
        <row r="35">
          <cell r="C35" t="str">
            <v>Qu¶ng B×nh</v>
          </cell>
        </row>
        <row r="36">
          <cell r="C36" t="str">
            <v>Qu¶ng TrÞ</v>
          </cell>
          <cell r="D36">
            <v>1</v>
          </cell>
        </row>
        <row r="37">
          <cell r="C37" t="str">
            <v>TT HuÕ</v>
          </cell>
        </row>
        <row r="38">
          <cell r="C38" t="str">
            <v>§µ N½ng</v>
          </cell>
        </row>
        <row r="39">
          <cell r="C39" t="str">
            <v>Qu¶ng Nam</v>
          </cell>
          <cell r="D39">
            <v>1</v>
          </cell>
        </row>
        <row r="40">
          <cell r="C40" t="str">
            <v>Qu¶ng Ng·i</v>
          </cell>
          <cell r="D40">
            <v>1</v>
          </cell>
        </row>
        <row r="41">
          <cell r="C41" t="str">
            <v>B×nh §Þnh</v>
          </cell>
        </row>
        <row r="42">
          <cell r="C42" t="str">
            <v>Phó Yªn</v>
          </cell>
          <cell r="D42">
            <v>1</v>
          </cell>
        </row>
        <row r="43">
          <cell r="C43" t="str">
            <v>Kh¸nh Hßa</v>
          </cell>
        </row>
        <row r="44">
          <cell r="C44" t="str">
            <v>Ninh ThuËn</v>
          </cell>
          <cell r="D44">
            <v>1</v>
          </cell>
        </row>
        <row r="45">
          <cell r="C45" t="str">
            <v>B×nh ThuËn</v>
          </cell>
        </row>
        <row r="46">
          <cell r="C46" t="str">
            <v>Gia Lai</v>
          </cell>
        </row>
        <row r="47">
          <cell r="C47" t="str">
            <v>Kon Tum</v>
          </cell>
        </row>
        <row r="48">
          <cell r="C48" t="str">
            <v>§¨k L¨k</v>
          </cell>
          <cell r="D48">
            <v>1</v>
          </cell>
        </row>
        <row r="49">
          <cell r="C49" t="str">
            <v>L©m §ång</v>
          </cell>
        </row>
        <row r="50">
          <cell r="C50" t="str">
            <v>Hå ChÝ Minh</v>
          </cell>
        </row>
        <row r="51">
          <cell r="C51" t="str">
            <v>B×nh D­¬ng</v>
          </cell>
        </row>
        <row r="52">
          <cell r="C52" t="str">
            <v>B×nh Ph­íc</v>
          </cell>
        </row>
        <row r="53">
          <cell r="C53" t="str">
            <v>T©y Ninh</v>
          </cell>
        </row>
        <row r="54">
          <cell r="C54" t="str">
            <v>§ång Nai</v>
          </cell>
        </row>
        <row r="55">
          <cell r="C55" t="str">
            <v>Bµ RÞa Vòng Tµu</v>
          </cell>
        </row>
        <row r="56">
          <cell r="C56" t="str">
            <v>Long An</v>
          </cell>
        </row>
        <row r="57">
          <cell r="C57" t="str">
            <v>§ång Th¸p</v>
          </cell>
        </row>
        <row r="58">
          <cell r="C58" t="str">
            <v>An Giang</v>
          </cell>
        </row>
        <row r="59">
          <cell r="C59" t="str">
            <v>TiÒn Giang</v>
          </cell>
        </row>
        <row r="60">
          <cell r="C60" t="str">
            <v>BÕn Tre</v>
          </cell>
          <cell r="D60">
            <v>1</v>
          </cell>
        </row>
        <row r="61">
          <cell r="C61" t="str">
            <v>VÜnh Long</v>
          </cell>
        </row>
        <row r="62">
          <cell r="C62" t="str">
            <v>Trµ Vinh</v>
          </cell>
          <cell r="D62">
            <v>1</v>
          </cell>
        </row>
        <row r="63">
          <cell r="C63" t="str">
            <v>CÇn Th¬</v>
          </cell>
        </row>
        <row r="64">
          <cell r="C64" t="str">
            <v>Sãc Tr¨ng</v>
          </cell>
          <cell r="D64">
            <v>1</v>
          </cell>
        </row>
        <row r="65">
          <cell r="C65" t="str">
            <v>Kiªn Giang</v>
          </cell>
        </row>
        <row r="66">
          <cell r="C66" t="str">
            <v>B¹c Liªu</v>
          </cell>
          <cell r="D66">
            <v>1</v>
          </cell>
        </row>
        <row r="67">
          <cell r="C67" t="str">
            <v>Cµ Mau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KluongKm2,4"/>
      <sheetName val="B.cao"/>
      <sheetName val="T.tiet"/>
      <sheetName val="T.N"/>
      <sheetName val="00000000"/>
      <sheetName val="Congty"/>
      <sheetName val="VPPN"/>
      <sheetName val="XN74"/>
      <sheetName val="XN54"/>
      <sheetName val="XN33"/>
      <sheetName val="NK96"/>
      <sheetName val="XL4Test5"/>
      <sheetName val="UNIT"/>
      <sheetName val="Piers of Main Flyover (1)"/>
      <sheetName val="Cot Tru1"/>
      <sheetName val="P3-TanAn-Factored"/>
      <sheetName val="P4-TanAn-Factored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Sheet2"/>
      <sheetName val="dn"/>
      <sheetName val="DU TOAN"/>
      <sheetName val="CHI TIET"/>
      <sheetName val="KLnt"/>
      <sheetName val="PHAN TICH"/>
      <sheetName val="TSCD DUNG CHUNG "/>
      <sheetName val="KHKHAUHAOTSCHUNG"/>
      <sheetName val="TSCDTOAN NHA MAY"/>
      <sheetName val="CPSXTOAN BO SP"/>
      <sheetName val="PBCPCHUNG CHO CAC DTUONG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XN79"/>
      <sheetName val="CTMT"/>
      <sheetName val="Sheet1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YEU TO CONG"/>
      <sheetName val="TD 3DIEM"/>
      <sheetName val="TD 2DIEM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"/>
      <sheetName val="ìtoan"/>
      <sheetName val="Sheet3 (2)"/>
      <sheetName val="dt-iphi"/>
      <sheetName val="TO HUNG"/>
      <sheetName val="CONGNHAN NE"/>
      <sheetName val="XINGUYEP"/>
      <sheetName val="TH331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Kluong"/>
      <sheetName val="Giatri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DTCTduong"/>
      <sheetName val="nhan cong"/>
      <sheetName val="rph (2)"/>
      <sheetName val="dap"/>
      <sheetName val="gpmb"/>
      <sheetName val="dt-kphi-iso-tong"/>
      <sheetName val="dt-kphi-iso-ctiet"/>
      <sheetName val="CRC"/>
      <sheetName val="GIATRI-DAILY"/>
      <sheetName val="NVBH KHAC"/>
      <sheetName val="NVBH HOAN"/>
      <sheetName val="TONKHODAILY"/>
      <sheetName val="gia"/>
      <sheetName val="PTDG"/>
      <sheetName val="sut&lt;100"/>
      <sheetName val="sut duong"/>
      <sheetName val="sut am"/>
      <sheetName val="bu lun"/>
      <sheetName val="xoi lo chan ke"/>
      <sheetName val="GTXL"/>
      <sheetName val="TDT"/>
      <sheetName val="gvt"/>
      <sheetName val="ATGT"/>
      <sheetName val="DG-TH"/>
      <sheetName val="Tuong-chan"/>
      <sheetName val="Dau-cong"/>
      <sheetName val="dtoan (4)"/>
      <sheetName val="tmdtu"/>
      <sheetName val="tra-vat-lieu"/>
      <sheetName val="0000000!"/>
      <sheetName val="SPL4"/>
      <sheetName val="bao cao ngay 13-02"/>
      <sheetName val="CBG"/>
      <sheetName val="`u lun"/>
      <sheetName val="sut&lt;1 0"/>
      <sheetName val="PTCT"/>
      <sheetName val="coc duc"/>
      <sheetName val="PL tham dinh"/>
      <sheetName val="THDT"/>
      <sheetName val="KSTK"/>
      <sheetName val="DTCT"/>
      <sheetName val="PTVL"/>
      <sheetName val="Bu VC"/>
      <sheetName val="luong"/>
      <sheetName val="40000000"/>
      <sheetName val="50000000"/>
      <sheetName val="60000000"/>
      <sheetName val="70000000"/>
      <sheetName val="80000000"/>
      <sheetName val="90000000"/>
      <sheetName val="a0000000"/>
      <sheetName val="HK1"/>
      <sheetName val="HK2"/>
      <sheetName val="CANAM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Khu xu ly nuoc THiep-XD"/>
      <sheetName val="Box-Girder"/>
      <sheetName val="Dbþgia"/>
      <sheetName val="ctTBA"/>
      <sheetName val="ma-pt"/>
      <sheetName val="Sheet_x0001_1"/>
      <sheetName val="FPPN"/>
      <sheetName val="CHI_x0000_TIET"/>
      <sheetName val="Don gia chi tiet"/>
      <sheetName val="Du thau"/>
      <sheetName val="Tro giup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Du_lieu"/>
      <sheetName val="NhapSl"/>
      <sheetName val="Nluc"/>
      <sheetName val="Tohop"/>
      <sheetName val="KT_Tthan"/>
      <sheetName val="Tra_TTTD"/>
      <sheetName val="IN__x000e_X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Tuong-ٺ_x0001_an"/>
      <sheetName val="ktduong"/>
      <sheetName val="cu"/>
      <sheetName val="KTcau2004"/>
      <sheetName val="KT2004XL#moi"/>
      <sheetName val="denbu"/>
      <sheetName val="thop"/>
      <sheetName val="He so"/>
      <sheetName val="PL Vua"/>
      <sheetName val="DPD"/>
      <sheetName val="DgDuong"/>
      <sheetName val="dgmo-tru"/>
      <sheetName val="dgdam"/>
      <sheetName val="Dam-Mo-Tru"/>
      <sheetName val="DTDuong"/>
      <sheetName val="GTXLc"/>
      <sheetName val="CPXLk"/>
      <sheetName val="KPTH"/>
      <sheetName val="Bang KL ket cau"/>
      <sheetName val="P3-PanAn-Factored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coctuatrenda"/>
      <sheetName val="IBASE"/>
      <sheetName val="ESTI."/>
      <sheetName val="DI-ESTI"/>
      <sheetName val="DGCT_x0006_"/>
      <sheetName val="Nhap don gia VL dia _x0003__x0000_uong"/>
      <sheetName val="Phan tich don gia chi Uet"/>
      <sheetName val="Số liệu"/>
      <sheetName val="TKKYI"/>
      <sheetName val="TKKYII"/>
      <sheetName val="Tổng hợp theo học sinh"/>
      <sheetName val="XL4Test5 (2)"/>
      <sheetName val="GiaVL"/>
      <sheetName val="Du toan chi tiet_x0000_coc nuoc"/>
      <sheetName val="She_x0000_t9"/>
      <sheetName val="_x0000_Ё_x0000__x0000__x0000__x0000_䀤_x0001__x0000__x0000__x0000__x0000_䀶_x0001__x0000_晦晦晦䀙_x0001__x0000__x0000__x0000__x0000_㿰_x0001_H-_x0000_ਈ_x0000_"/>
      <sheetName val="tuong"/>
      <sheetName val="md5!-52"/>
      <sheetName val="NHAP"/>
      <sheetName val="TT_35NH"/>
      <sheetName val="dv-kphi-cviet"/>
      <sheetName val="bvh-kphi"/>
      <sheetName val="PCCPCHUNG CHO CAC DTUONG"/>
      <sheetName val="Piers of Main Flyower (1)"/>
      <sheetName val="tai"/>
      <sheetName val="hoang"/>
      <sheetName val="hoang (2)"/>
      <sheetName val="hoang (3)"/>
      <sheetName val="Nhap don gia VL dia _x0003_"/>
      <sheetName val="CHI"/>
      <sheetName val="CDPS"/>
      <sheetName val="TN"/>
      <sheetName val="ND"/>
      <sheetName val="NKC"/>
      <sheetName val="SoCaiT"/>
      <sheetName val="THDU"/>
      <sheetName val="MTO REV.2(ARMOR)"/>
      <sheetName val="Nhatkychung"/>
      <sheetName val="_x0000_????_x0001__x0000__x0000__x0000__x0000_?_x0001_H-_x0000_?_x0000_????_x0001__x0000_????_x0001__x0000__x0000__x0000_"/>
      <sheetName val="Ё_x0000_䀤_x0001__x0000_䀶_x0001__x0000_晦晦晦䀙_x0001__x0000_㿰_x0001_H-_x0000_ਈ_x0000_ꏗ㵰휊䀁_x0001__x0000_尩슏⣵䀂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tonghop"/>
      <sheetName val="Sheet19"/>
      <sheetName val="Sheet18"/>
      <sheetName val="dtct cong"/>
      <sheetName val="Phan tich don gia chi ˆUet"/>
      <sheetName val="CTC_x000f_NG_02"/>
      <sheetName val="_x0004_GCong"/>
      <sheetName val="0_x0000__x0000_ﱸ͕_x0000__x0004__x0000__x0000__x0000__x0000__x0000__x0000_͕_x0000__x0000__x0000__x0000__x0000__x0000__x0000__x0000_列͕_x0000__x0000__x0013__x0000__x0000__x0000_"/>
      <sheetName val="Ё"/>
      <sheetName val="?_x0000_?_x0001__x0000_?_x0001__x0000_????_x0001__x0000_?_x0001_H-_x0000_?_x0000_????_x0001__x0000_????"/>
      <sheetName val="?"/>
      <sheetName val="????_x0001_"/>
      <sheetName val="3cau"/>
      <sheetName val="266+623"/>
      <sheetName val="TXL(266+623"/>
      <sheetName val="DDCT"/>
      <sheetName val="M"/>
      <sheetName val="vln"/>
      <sheetName val="CHI?TIET"/>
      <sheetName val="PBCPCHUNG CHO CAC _x0007_{WÑNG"/>
      <sheetName val="Nhap don gia VL dia _x0003_?uong"/>
      <sheetName val="?Ё????䀤_x0001_????䀶_x0001_?晦晦晦䀙_x0001_????㿰_x0001_H-?ਈ?"/>
      <sheetName val="Ё?䀤_x0001_?䀶_x0001_?晦晦晦䀙_x0001_?㿰_x0001_H-?ਈ?ꏗ㵰휊䀁_x0001_?尩슏⣵䀂"/>
      <sheetName val="?????_x0001_?????_x0001_H-???????_x0001_?????_x0001_???"/>
      <sheetName val="???_x0001_??_x0001_?????_x0001_??_x0001_H-???????_x0001_?????"/>
      <sheetName val="????_x0001_??_x0001_H-???????_x0001_?????_x0001_?"/>
      <sheetName val="Giai trinh"/>
      <sheetName val="GTGT"/>
      <sheetName val="Mua vao TT"/>
      <sheetName val="Mua vao GTGT"/>
      <sheetName val="Bra"/>
      <sheetName val="BC HDon"/>
      <sheetName val="BC HDon Qui"/>
      <sheetName val="KE KHAI HDONG"/>
      <sheetName val="Recovered_Sheet1"/>
      <sheetName val="Recovered_Sheet2"/>
      <sheetName val="NHTN"/>
      <sheetName val="QLDD"/>
      <sheetName val="Moi truong"/>
      <sheetName val="KHĐ"/>
      <sheetName val="Sheet3ٺ_x0001_2)"/>
      <sheetName val="She"/>
      <sheetName val="vua_x0000__x0000__x0000__x0000__x0000__x0000__x0000__x0000__x0000__x0000__x0000_韘࿊_x0000__x0004__x0000__x0000__x0000__x0000__x0000__x0000_酐࿊_x0000__x0000__x0000__x0000__x0000_"/>
      <sheetName val="Don gia"/>
      <sheetName val="CHI TI_x0000__x0000_"/>
      <sheetName val="_x0000_?_x0000__x0000__x0000__x0000_?_x0001__x0000__x0000__x0000__x0000_?_x0001__x0000_????_x0001__x0000__x0000__x0000__x0000_?_x0001_H-_x0000_?_x0000_"/>
      <sheetName val="rph_(2)"/>
      <sheetName val="dtoan_-ctiet"/>
      <sheetName val="NVBH_KHAC"/>
      <sheetName val="NVBH_HOAN"/>
      <sheetName val="sut_duong"/>
      <sheetName val="sut_am"/>
      <sheetName val="bu_lun"/>
      <sheetName val="xoi_lo_chan_ke"/>
      <sheetName val="dtoan_(4)"/>
      <sheetName val="dt-kphi_(2)"/>
      <sheetName val="B_cao"/>
      <sheetName val="T_tiet"/>
      <sheetName val="T_N"/>
      <sheetName val="Piers_of_Main_Flyover_(1)"/>
      <sheetName val="Cot_Tru1"/>
      <sheetName val="COC_KHOAN_M1"/>
      <sheetName val="COC_KHOAN_M2"/>
      <sheetName val="COC_KHOAN_T1"/>
      <sheetName val="COC_KHOAN_T5"/>
      <sheetName val="COC_KHOAN_T4"/>
      <sheetName val="COC_DONG"/>
      <sheetName val="DTCT_02__2595"/>
      <sheetName val="DU_TOAN"/>
      <sheetName val="CHI_TIET"/>
      <sheetName val="PHAN_TICH"/>
      <sheetName val="YEU_TO_CONG"/>
      <sheetName val="TD_3DIEM"/>
      <sheetName val="TD_2DIEM"/>
      <sheetName val="TSCD_DUNG_CHUNG_"/>
      <sheetName val="TSCDTOAN_NHA_MAY"/>
      <sheetName val="CPSXTOAN_BO_SP"/>
      <sheetName val="PBCPCHUNG_CHO_CAC_DTUONG"/>
      <sheetName val="THKL_nghiemthu"/>
      <sheetName val="DTCTtaluy_(2)"/>
      <sheetName val="KLDGTT&lt;120%_(2)"/>
      <sheetName val="TH_(2)"/>
      <sheetName val="nhan_cong"/>
      <sheetName val="Sheet3_(2)"/>
      <sheetName val="`u_lun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TO_HUNG"/>
      <sheetName val="CONGNHAN_NE"/>
      <sheetName val="Vatlieu_cau"/>
      <sheetName val="cau_DS11"/>
      <sheetName val="cau_DS12"/>
      <sheetName val="sut&lt;1_0"/>
      <sheetName val="Khu_xu_ly_nuoc_THiep-XD"/>
      <sheetName val="PL_tham_dinh"/>
      <sheetName val="Bu_VC"/>
      <sheetName val="Thuc thanh"/>
      <sheetName val="Eodule1"/>
      <sheetName val="dt-kphi-ÿÿo-ctiet"/>
      <sheetName val="10mduongsa{ío"/>
      <sheetName val="???????_x0001_?????_x0001_?????_x0001_?????_x0001_H-???"/>
      <sheetName val="She?t9"/>
      <sheetName val="Du toan chi tiet"/>
      <sheetName val="t1_3"/>
      <sheetName val="Don_gia_chi_tiet"/>
      <sheetName val="Du_thau"/>
      <sheetName val="Tro_giup"/>
      <sheetName val="She%t11"/>
      <sheetName val="Nhap don gia VL dia áhuong"/>
      <sheetName val="uong mot ngay cong xay lap"/>
      <sheetName val="????_x0001__x0000_?_x0001_H-_x0000_?_x0000_????_x0001__x0000_????_x0001__x0000_"/>
      <sheetName val="?_x0000_?_x0001__x0000_?_x0001__x0000_????_x0001__x0000_?_x0001_H-_x0000_?_x0000_"/>
      <sheetName val="CHITIET"/>
      <sheetName val="KLDGTT&lt;1ü_x000c__x0000__x0000_(2)"/>
      <sheetName val="TinhToan"/>
      <sheetName val="Piers of Main Flylyer (1)"/>
      <sheetName val="DG೼�_02"/>
      <sheetName val="NVBH(HOAN"/>
      <sheetName val="dt-cphi-ctieT"/>
      <sheetName val="S? li?u"/>
      <sheetName val="T?ng h?p theo h?c sinh"/>
      <sheetName val="Quantity"/>
      <sheetName val="tra_x0000__x0000__x0000__x0000__x0000_±@Z"/>
      <sheetName val="Du toan chi tiet coc juoc"/>
      <sheetName val="Du toan_x0000_chi tiet coc"/>
      <sheetName val="T_x0004_ 3DIEM"/>
      <sheetName val="Rheet10"/>
      <sheetName val="Du toan chi tiet?coc nuoc"/>
      <sheetName val="Pier"/>
      <sheetName val="Pile"/>
      <sheetName val="ptvì0-1"/>
      <sheetName val="_"/>
      <sheetName val="_____x0001_"/>
      <sheetName val="Nhap don gia VL dia _x0003__uong"/>
      <sheetName val="_Ё____䀤_x0001_____䀶_x0001__晦晦晦䀙_x0001_____㿰_x0001_H-_ਈ_"/>
      <sheetName val="Ё_䀤_x0001__䀶_x0001__晦晦晦䀙_x0001__㿰_x0001_H-_ਈ_ꏗ㵰휊䀁_x0001__尩슏⣵䀂"/>
      <sheetName val="______x0001_______x0001_H-________x0001_______x0001____"/>
      <sheetName val="____x0001____x0001_______x0001____x0001_H-________x0001______"/>
      <sheetName val="_____x0001____x0001_H-________x0001_______x0001__"/>
      <sheetName val="________x0001_______x0001_______x0001_______x0001_H-___"/>
      <sheetName val="She_t9"/>
      <sheetName val="???_x0001_??_x0001_?????_x0001_??_x0001_H-???"/>
      <sheetName val="____x0001____x0001_______x0001____x0001_H-___"/>
      <sheetName val="0??ﱸ͕?_x0004_??????͕????????列͕??_x0013_???"/>
      <sheetName val="ma_pt"/>
      <sheetName val="PC-summary"/>
      <sheetName val="Gca may Buu dien"/>
      <sheetName val="882"/>
      <sheetName val="Giamay"/>
      <sheetName val="DM_GVT"/>
      <sheetName val="May chuyen nganh"/>
      <sheetName val="TT06"/>
      <sheetName val="DEF"/>
      <sheetName val="DothiP1"/>
      <sheetName val="Sheet1 (3)"/>
      <sheetName val="Sheet1 (2)"/>
      <sheetName val="[dtTKKT-98-106.xlsၝTHCDS11"/>
      <sheetName val="[dtTKKT-98-106.xls?THCDS11"/>
      <sheetName val="_x0000__x0000__x0000__x0000__x0000__x0000_??_x0000__x0000__x0013__x0000__x0000__x0000__x0000__x0000__x0000__x0000__x0000__x0000__x0000__x0000__x0000__x0000__x0000__x0000__x001f_[dtT"/>
      <sheetName val="INV"/>
      <sheetName val="XXXXXXX2"/>
      <sheetName val="XXXXXXX3"/>
      <sheetName val="XXXXXXX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0">
          <cell r="Q10">
            <v>58000</v>
          </cell>
        </row>
        <row r="12">
          <cell r="Q12">
            <v>54000</v>
          </cell>
        </row>
        <row r="15">
          <cell r="Q15">
            <v>164</v>
          </cell>
        </row>
        <row r="20">
          <cell r="Q20">
            <v>18000</v>
          </cell>
        </row>
        <row r="21">
          <cell r="Q21">
            <v>50000</v>
          </cell>
        </row>
        <row r="23">
          <cell r="Q23">
            <v>4340</v>
          </cell>
        </row>
        <row r="28">
          <cell r="Q28">
            <v>1364000</v>
          </cell>
        </row>
        <row r="29">
          <cell r="Q29">
            <v>6091</v>
          </cell>
        </row>
        <row r="30">
          <cell r="Q30">
            <v>3500</v>
          </cell>
        </row>
        <row r="33">
          <cell r="Q33">
            <v>13636</v>
          </cell>
        </row>
        <row r="37">
          <cell r="Q37">
            <v>30000</v>
          </cell>
        </row>
        <row r="40">
          <cell r="Q40">
            <v>4500</v>
          </cell>
        </row>
        <row r="45">
          <cell r="Q45">
            <v>4300</v>
          </cell>
        </row>
        <row r="47">
          <cell r="Q47">
            <v>10500</v>
          </cell>
        </row>
        <row r="48">
          <cell r="Q48">
            <v>2000</v>
          </cell>
        </row>
        <row r="49">
          <cell r="Q49">
            <v>3000</v>
          </cell>
        </row>
        <row r="50">
          <cell r="Q50">
            <v>1200</v>
          </cell>
        </row>
        <row r="51">
          <cell r="Q51">
            <v>1370</v>
          </cell>
        </row>
        <row r="55">
          <cell r="Q55">
            <v>8636.363636363636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 refreshError="1"/>
      <sheetData sheetId="371" refreshError="1"/>
      <sheetData sheetId="372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/>
      <sheetData sheetId="415"/>
      <sheetData sheetId="416" refreshError="1"/>
      <sheetData sheetId="417" refreshError="1"/>
      <sheetData sheetId="418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/>
      <sheetData sheetId="433"/>
      <sheetData sheetId="434"/>
      <sheetData sheetId="435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 refreshError="1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 refreshError="1"/>
      <sheetData sheetId="530" refreshError="1"/>
      <sheetData sheetId="531" refreshError="1"/>
      <sheetData sheetId="532"/>
      <sheetData sheetId="533" refreshError="1"/>
      <sheetData sheetId="534" refreshError="1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 refreshError="1"/>
      <sheetData sheetId="545"/>
      <sheetData sheetId="546"/>
      <sheetData sheetId="547" refreshError="1"/>
      <sheetData sheetId="548" refreshError="1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 refreshError="1"/>
      <sheetData sheetId="562"/>
      <sheetData sheetId="563" refreshError="1"/>
      <sheetData sheetId="564" refreshError="1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/>
      <sheetData sheetId="574"/>
      <sheetData sheetId="575" refreshError="1"/>
      <sheetData sheetId="576" refreshError="1"/>
      <sheetData sheetId="577" refreshError="1"/>
      <sheetData sheetId="578"/>
      <sheetData sheetId="579"/>
      <sheetData sheetId="580"/>
      <sheetData sheetId="58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(2)"/>
      <sheetName val="1"/>
      <sheetName val="3"/>
      <sheetName val="4"/>
      <sheetName val="DIVISION14"/>
      <sheetName val="2.1.1(2)"/>
      <sheetName val="2.2.1"/>
      <sheetName val="2.3.1(2)"/>
      <sheetName val="2.3.1(3)"/>
      <sheetName val="2.3.1"/>
      <sheetName val="2.3.3"/>
      <sheetName val="2.4.1(1)"/>
      <sheetName val="2.4.1(2)"/>
      <sheetName val="2.4.1"/>
      <sheetName val="2.4.2"/>
      <sheetName val="Corec IPC13"/>
      <sheetName val="2.4.2(1)"/>
      <sheetName val="2.4.3"/>
      <sheetName val="2.5.1"/>
      <sheetName val="3.1.1"/>
      <sheetName val="3.1.4"/>
      <sheetName val="4.1.1"/>
      <sheetName val="4.1.2"/>
      <sheetName val="4.2.4"/>
      <sheetName val="4.3.2"/>
      <sheetName val="4.3.3"/>
      <sheetName val="5.3.1"/>
      <sheetName val="5.5.2"/>
      <sheetName val="5.5.4"/>
      <sheetName val="5.5.6"/>
      <sheetName val="5.5.8"/>
      <sheetName val="5.2.1,5.5.12 "/>
      <sheetName val="Summary Q.L.T Steel"/>
      <sheetName val="Stock July"/>
      <sheetName val="Advance payment"/>
      <sheetName val=" payment for Piling "/>
      <sheetName val="PCCP"/>
      <sheetName val="Bridge"/>
      <sheetName val=" Gider Bridge (2)"/>
      <sheetName val="#REF"/>
      <sheetName val="2_3_3"/>
      <sheetName val="2_4_3"/>
      <sheetName val="2_5_1"/>
      <sheetName val="3_1_1"/>
      <sheetName val="3_1_4"/>
      <sheetName val="4_1_1"/>
      <sheetName val="4_3_2"/>
      <sheetName val="5_3_1"/>
      <sheetName val="#REF!"/>
      <sheetName val="HE SO"/>
      <sheetName val="GVL-NC-M"/>
      <sheetName val="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>
        <row r="64">
          <cell r="F64">
            <v>11333.347</v>
          </cell>
        </row>
      </sheetData>
      <sheetData sheetId="18" refreshError="1">
        <row r="11">
          <cell r="A11" t="str">
            <v>MR No.</v>
          </cell>
        </row>
        <row r="164">
          <cell r="E164">
            <v>396282.87</v>
          </cell>
          <cell r="F164">
            <v>396282.87</v>
          </cell>
        </row>
      </sheetData>
      <sheetData sheetId="19" refreshError="1">
        <row r="166">
          <cell r="E166">
            <v>110850</v>
          </cell>
          <cell r="F166">
            <v>127341.51000000001</v>
          </cell>
        </row>
      </sheetData>
      <sheetData sheetId="20" refreshError="1">
        <row r="114">
          <cell r="E114">
            <v>53548.320749999999</v>
          </cell>
          <cell r="F114">
            <v>63977.320749999999</v>
          </cell>
        </row>
      </sheetData>
      <sheetData sheetId="21" refreshError="1">
        <row r="46">
          <cell r="G46">
            <v>82972.404999999984</v>
          </cell>
        </row>
      </sheetData>
      <sheetData sheetId="22"/>
      <sheetData sheetId="23"/>
      <sheetData sheetId="24" refreshError="1">
        <row r="45">
          <cell r="E45">
            <v>29999.999873155197</v>
          </cell>
          <cell r="F45">
            <v>45111.293699999995</v>
          </cell>
        </row>
      </sheetData>
      <sheetData sheetId="25"/>
      <sheetData sheetId="26" refreshError="1">
        <row r="72">
          <cell r="E72">
            <v>41561.5363</v>
          </cell>
          <cell r="F72">
            <v>44558.5363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coc (2)"/>
      <sheetName val="bia"/>
      <sheetName val="Input Data"/>
      <sheetName val="Xuly Data (2)"/>
      <sheetName val="Xuly Data"/>
      <sheetName val="TPLTD"/>
      <sheetName val="THDinhM"/>
      <sheetName val="TohopDM"/>
      <sheetName val="THNL"/>
      <sheetName val="DDinh"/>
      <sheetName val="Xamu"/>
      <sheetName val="Becoc"/>
      <sheetName val="KNCLC"/>
      <sheetName val="CVI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"/>
      <sheetName val="Solieu"/>
      <sheetName val="cal1"/>
      <sheetName val="cal2"/>
      <sheetName val="cal3"/>
      <sheetName val="cal4"/>
      <sheetName val="cal4 (2)"/>
      <sheetName val="CAL4(3)"/>
      <sheetName val="CVI"/>
      <sheetName val="cal5"/>
      <sheetName val="cal6"/>
      <sheetName val="Cal7"/>
      <sheetName val="BTRA"/>
      <sheetName val="cal8"/>
      <sheetName val="Sheet2"/>
      <sheetName val="Sheet1"/>
      <sheetName val="00000000"/>
      <sheetName val="km6+800-km6+840"/>
      <sheetName val="3+960"/>
      <sheetName val="SLTC"/>
      <sheetName val="336-400"/>
      <sheetName val="400-500"/>
      <sheetName val="720-800"/>
      <sheetName val="Girder"/>
      <sheetName val="Tendon"/>
      <sheetName val="BT_x0012_A"/>
      <sheetName val="Sohoa1"/>
      <sheetName val="Sohoa2"/>
      <sheetName val="Sohoa3"/>
      <sheetName val="Sohoa4"/>
      <sheetName val="LopTop(Cat)"/>
      <sheetName val="Lop1Dat"/>
      <sheetName val="Lopdinhdat"/>
      <sheetName val="Lop01(SB)"/>
      <sheetName val="Lop02(SB) "/>
      <sheetName val="XL4Test5"/>
      <sheetName val="cal;"/>
      <sheetName val="NKCTỪ"/>
      <sheetName val="SỔ CÁI"/>
      <sheetName val="BCÂNĐỐI"/>
      <sheetName val="CĐKTOÁN"/>
      <sheetName val="KQHĐKD"/>
      <sheetName val="TỒN QUỸ"/>
      <sheetName val="XL4Poppy"/>
      <sheetName val="cal_x0012_"/>
      <sheetName val="_x0013_DTC"/>
      <sheetName val="400-50_x0010_"/>
      <sheetName val="Xuly Data"/>
      <sheetName val="NKCT?"/>
      <sheetName val="S? CÁI"/>
      <sheetName val="BCÂNÐ?I"/>
      <sheetName val="CÐKTOÁN"/>
      <sheetName val="KQHÐKD"/>
      <sheetName val="T?N QU?"/>
      <sheetName val="NC"/>
      <sheetName val="Thanh Son 1"/>
      <sheetName val="Thanh Son 2"/>
      <sheetName val="Thanh Son 3"/>
      <sheetName val="Thanh Son 4"/>
      <sheetName val="5a"/>
      <sheetName val="Thanh Son 5a"/>
      <sheetName val="Thanh Son 8"/>
      <sheetName val="thanh Son 9a"/>
      <sheetName val="Thanh Son 9b"/>
      <sheetName val="Thanh Son 9c"/>
      <sheetName val="Thanh Son 10"/>
      <sheetName val="Thanh Son 11"/>
      <sheetName val="Thanh Son 12"/>
      <sheetName val="Thanh Son 13"/>
      <sheetName val="GVL"/>
      <sheetName val="NEW-PANEL"/>
      <sheetName val="A6"/>
      <sheetName val="cal4 (­É"/>
      <sheetName val="Tong hop thu chi T1 .06"/>
      <sheetName val="Tong hop thu chi T2.06 "/>
      <sheetName val="Tong hop thu chi T3.06"/>
      <sheetName val="tong hop thu chi T1 (2)"/>
      <sheetName val="tong hop thu chi T1"/>
      <sheetName val="Tong hop thu chi T2 (2)"/>
      <sheetName val="Tong hop thu chi T2"/>
      <sheetName val="Tong hop thu chi T3 (2)"/>
      <sheetName val="Tong hop thu chi T3"/>
      <sheetName val="Tong hop thu chi T4 (2)"/>
      <sheetName val="Tong hop thu chi T4"/>
      <sheetName val="Tong hop thu chi T5) (2)"/>
      <sheetName val="Tong hop thu chi T5)"/>
      <sheetName val="Tong hop thu chi T7.06"/>
      <sheetName val="Tong hop thu chi T6.06"/>
      <sheetName val="Tong hop thu chi T5.06  "/>
      <sheetName val="Tong hop thu chi T1.06"/>
      <sheetName val="Tong hop thu chi T2.06"/>
      <sheetName val="Tong hop thu chi T3.O6"/>
      <sheetName val="Tong hop thu chi T4.06 "/>
      <sheetName val="Tong hop thu chi T6 (2)"/>
      <sheetName val="Tong hop thu chi T6"/>
      <sheetName val="Tong hop thu chi T7"/>
      <sheetName val="Tong hop thu chi T8"/>
      <sheetName val="Tong hop thu chi T9"/>
      <sheetName val="Tong hop thu chi T10"/>
      <sheetName val="Tong hop thu chi T11"/>
      <sheetName val="Tong hop thu chi T12"/>
      <sheetName val="Sheet3"/>
      <sheetName val="TS"/>
    </sheetNames>
    <sheetDataSet>
      <sheetData sheetId="0"/>
      <sheetData sheetId="1" refreshError="1">
        <row r="15">
          <cell r="D15">
            <v>0.9</v>
          </cell>
        </row>
        <row r="27">
          <cell r="E27">
            <v>2.86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NC10"/>
      <sheetName val="VL10"/>
      <sheetName val="CFmay10"/>
      <sheetName val="627(10)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Sheet1"/>
      <sheetName val="Sheet2"/>
      <sheetName val="Sheet3"/>
      <sheetName val="Sheet4"/>
      <sheetName val="Sheet5"/>
      <sheetName val="T1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00000000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ong hop"/>
      <sheetName val="phan tich DG"/>
      <sheetName val="gia vat lieu"/>
      <sheetName val="gia xe may"/>
      <sheetName val="gia nhan cong"/>
      <sheetName val="XL4Test5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L DUONG DC L = 90m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Sua (2)"/>
      <sheetName val="Sua"/>
      <sheetName val="DGKSDA"/>
      <sheetName val="TH_BVTC"/>
      <sheetName val="BVTC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PC"/>
      <sheetName val="Ph-Thu"/>
      <sheetName val="Ph-Thu (2)"/>
      <sheetName val="PC (2)"/>
      <sheetName val="Chart2"/>
      <sheetName val="PC (3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DT"/>
      <sheetName val="CP"/>
      <sheetName val="BCT6"/>
      <sheetName val="MTL__INTER"/>
      <sheetName val="TH du toan "/>
      <sheetName val="Du toan "/>
      <sheetName val="C.Tinh"/>
      <sheetName val="TK_cap"/>
      <sheetName val="Bang ke chi tiet 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4"/>
      <sheetName val="TK 155"/>
      <sheetName val="TK211"/>
      <sheetName val="TK214"/>
      <sheetName val="BPBKH"/>
      <sheetName val="TK 331"/>
      <sheetName val="TK334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MTO REV.2(ARMOR)"/>
      <sheetName val="TongHopSuaLoé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"/>
      <sheetName val="DTCT"/>
      <sheetName val="THDT"/>
      <sheetName val="THVT"/>
      <sheetName val="THGT"/>
      <sheetName val="Duong con' vu hcm (6)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au c47"/>
      <sheetName val="Thang 1"/>
      <sheetName val="Thang 10"/>
      <sheetName val="T9"/>
      <sheetName val="T6"/>
      <sheetName val="T3"/>
      <sheetName val="T10"/>
      <sheetName val="T2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Phieu cao do K95"/>
      <sheetName val="Lop 1 K98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ang TH Dtman"/>
      <sheetName val="km345+661-kms45+000 (2)"/>
      <sheetName val="km338+1w6-km338+230"/>
      <sheetName val="km338+439-km388+571.x9"/>
      <sheetName val="km337+u33.60-km338 (2)"/>
      <sheetName val="km345+400-km345+5 0 (3) (2)"/>
      <sheetName val="km345+400-km345+500 (6'-"/>
      <sheetName val="Tong"/>
      <sheetName val="CPC"/>
      <sheetName val="NVL"/>
      <sheetName val="BCH"/>
      <sheetName val="LDPT"/>
      <sheetName val="SAT"/>
      <sheetName val="C.PHA"/>
      <sheetName val="MOC"/>
      <sheetName val="Xay- Thuc"/>
      <sheetName val="Xay-Hanh"/>
      <sheetName val="DIEN"/>
      <sheetName val="An"/>
      <sheetName val="tkhai"/>
      <sheetName val="muavao"/>
      <sheetName val="banra"/>
      <sheetName val="BCSDHDNam"/>
      <sheetName val="SDHDThang"/>
      <sheetName val="tuၡn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SD0"/>
      <sheetName val="km342+500-km342+690 (2)"/>
      <sheetName val="20% BHXX"/>
      <sheetName val="PNT-QUOT-#3"/>
      <sheetName val="COAT&amp;WRAP-QIOT-#3"/>
      <sheetName val="Chiet tinh dz35"/>
      <sheetName val="tu_n"/>
      <sheetName val="aung"/>
      <sheetName val="dongia (2)"/>
      <sheetName val="SBD-Pha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B-B"/>
      <sheetName val="C-C"/>
      <sheetName val="D-D"/>
      <sheetName val="E-E"/>
      <sheetName val="F-F(2)"/>
      <sheetName val="F-F(3)"/>
      <sheetName val="G-G(3)"/>
      <sheetName val="B_B"/>
      <sheetName val="C_C"/>
      <sheetName val="D_D"/>
      <sheetName val="[Abutment.XLS_x001d_G-G(3)"/>
      <sheetName val="_Abutment.XLS_x001d_G-G(3)"/>
      <sheetName val="Sheet1"/>
      <sheetName val="THDT"/>
      <sheetName val="DTHMCT"/>
      <sheetName val="dpd"/>
      <sheetName val="DGXD_dg"/>
      <sheetName val="Cau CAMAU"/>
      <sheetName val="Cau DINHHOA"/>
      <sheetName val="Cau KIMMY"/>
      <sheetName val="DGvua"/>
      <sheetName val="DGdg"/>
      <sheetName val="DGcau.cong"/>
      <sheetName val="VL"/>
      <sheetName val="NC"/>
      <sheetName val="May"/>
      <sheetName val="Data"/>
      <sheetName val="KLcau"/>
      <sheetName val="00000000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5.BANG I"/>
      <sheetName val="Ge"/>
      <sheetName val="ComA-A"/>
      <sheetName val="A-A"/>
      <sheetName val="So lieu chung"/>
      <sheetName val="Xuly Data"/>
      <sheetName val="FD"/>
      <sheetName val="GI"/>
      <sheetName val="EE (3)"/>
      <sheetName val="PAVEMENT"/>
      <sheetName val="TRAFFIC"/>
      <sheetName val="DO AM DT"/>
      <sheetName val="Load1"/>
      <sheetName val="THPDMoi  (2)"/>
      <sheetName val="gtrinh"/>
      <sheetName val="TONG HOP VL-NC"/>
      <sheetName val="lam-moi"/>
      <sheetName val="dongia (2)"/>
      <sheetName val="chitiet"/>
      <sheetName val="TONGKE3p "/>
      <sheetName val="TH VL, NC, DDHT Thanhphuoc"/>
      <sheetName val="#REF"/>
      <sheetName val="DONGIA"/>
      <sheetName val="Don gia"/>
      <sheetName val="DG"/>
      <sheetName val="giathanh1"/>
      <sheetName val="t-h HA THE"/>
      <sheetName val="TNHCHINH"/>
      <sheetName val="CHITIET VL-NC"/>
      <sheetName val="thao-go"/>
      <sheetName val="TH XL"/>
      <sheetName val="CHITIET VL-NC-TT -1p"/>
      <sheetName val="Tiepdia"/>
      <sheetName val="TONGKE-HT"/>
      <sheetName val="TDTKP"/>
      <sheetName val="VCV-BE-TONG"/>
      <sheetName val="gvl"/>
      <sheetName val="Lç khoan LK1"/>
    </sheetNames>
    <sheetDataSet>
      <sheetData sheetId="0" refreshError="1">
        <row r="45">
          <cell r="I45">
            <v>7.0000000000000007E-2</v>
          </cell>
        </row>
      </sheetData>
      <sheetData sheetId="1" refreshError="1">
        <row r="1">
          <cell r="A1" t="str">
            <v>ministry of transport - No. 18 projects management unit</v>
          </cell>
        </row>
        <row r="2">
          <cell r="A2" t="str">
            <v>national highway No. 10 improvement project</v>
          </cell>
        </row>
        <row r="3">
          <cell r="A3" t="str">
            <v>package r5 - hai phong bypass section</v>
          </cell>
        </row>
        <row r="5">
          <cell r="A5" t="str">
            <v>REINFORCED CONCRETE SECTION DESIGN</v>
          </cell>
        </row>
        <row r="6">
          <cell r="C6" t="str">
            <v>(Rectangular Section with Compression Reinforcement)</v>
          </cell>
        </row>
        <row r="7">
          <cell r="C7" t="str">
            <v>(According to AASHTO 1996)</v>
          </cell>
        </row>
        <row r="8">
          <cell r="A8" t="str">
            <v>Bridge:</v>
          </cell>
          <cell r="C8" t="str">
            <v>QUAN TOAN FLYOVER A1, A2</v>
          </cell>
        </row>
        <row r="9">
          <cell r="A9" t="str">
            <v>Structure:</v>
          </cell>
          <cell r="C9" t="str">
            <v>SECTION B-B</v>
          </cell>
        </row>
        <row r="11">
          <cell r="B11" t="str">
            <v>Factored loads for B-B (/1m)</v>
          </cell>
          <cell r="F11" t="str">
            <v>Check section according to group:</v>
          </cell>
          <cell r="J11">
            <v>1</v>
          </cell>
        </row>
        <row r="12">
          <cell r="C12" t="str">
            <v>Shear</v>
          </cell>
          <cell r="D12" t="str">
            <v>Moment</v>
          </cell>
          <cell r="F12" t="str">
            <v>Factored Moment:</v>
          </cell>
          <cell r="J12">
            <v>1700.5001719315139</v>
          </cell>
          <cell r="K12" t="str">
            <v>kN*m</v>
          </cell>
        </row>
        <row r="13">
          <cell r="B13" t="str">
            <v>Group</v>
          </cell>
          <cell r="C13" t="str">
            <v>(kN/m)</v>
          </cell>
          <cell r="D13" t="str">
            <v>(kN•m/m)</v>
          </cell>
          <cell r="F13" t="str">
            <v>Factored Shear force:</v>
          </cell>
          <cell r="J13">
            <v>508.04684812980486</v>
          </cell>
          <cell r="K13" t="str">
            <v>kN</v>
          </cell>
        </row>
        <row r="14">
          <cell r="B14" t="str">
            <v>I</v>
          </cell>
          <cell r="C14">
            <v>508.04684812980486</v>
          </cell>
          <cell r="D14">
            <v>1700.5001719315139</v>
          </cell>
        </row>
        <row r="15">
          <cell r="B15" t="str">
            <v>II</v>
          </cell>
          <cell r="C15">
            <v>415.0351435194541</v>
          </cell>
          <cell r="D15">
            <v>1256.4454529118991</v>
          </cell>
        </row>
        <row r="16">
          <cell r="B16" t="str">
            <v>III</v>
          </cell>
          <cell r="C16">
            <v>474.81242581015812</v>
          </cell>
          <cell r="D16">
            <v>1548.8772123837118</v>
          </cell>
        </row>
        <row r="17">
          <cell r="B17" t="str">
            <v>VII</v>
          </cell>
          <cell r="C17">
            <v>540.0884764934691</v>
          </cell>
          <cell r="D17">
            <v>1797.5708247721295</v>
          </cell>
        </row>
        <row r="19">
          <cell r="A19" t="str">
            <v>Initial Data</v>
          </cell>
        </row>
        <row r="20">
          <cell r="A20" t="str">
            <v xml:space="preserve">  Beam/Effective Web Width</v>
          </cell>
          <cell r="E20" t="str">
            <v>b, bw</v>
          </cell>
          <cell r="F20">
            <v>1000</v>
          </cell>
          <cell r="G20" t="str">
            <v>mm</v>
          </cell>
        </row>
        <row r="21">
          <cell r="A21" t="str">
            <v xml:space="preserve">  Total Beam Depth</v>
          </cell>
          <cell r="E21" t="str">
            <v>h</v>
          </cell>
          <cell r="F21">
            <v>1500</v>
          </cell>
          <cell r="G21" t="str">
            <v>mm</v>
          </cell>
        </row>
        <row r="22">
          <cell r="A22" t="str">
            <v xml:space="preserve">  Depth from to Steel Centroid</v>
          </cell>
          <cell r="E22" t="str">
            <v>d</v>
          </cell>
          <cell r="F22">
            <v>1400</v>
          </cell>
          <cell r="G22" t="str">
            <v>mm</v>
          </cell>
        </row>
        <row r="23">
          <cell r="A23" t="str">
            <v xml:space="preserve">  Distance </v>
          </cell>
          <cell r="E23" t="str">
            <v>d'</v>
          </cell>
          <cell r="F23">
            <v>100</v>
          </cell>
          <cell r="G23" t="str">
            <v>mm</v>
          </cell>
        </row>
        <row r="24">
          <cell r="A24" t="str">
            <v xml:space="preserve">  Dist. from extreme tension fiber to</v>
          </cell>
          <cell r="E24" t="str">
            <v>d1</v>
          </cell>
          <cell r="F24">
            <v>100</v>
          </cell>
          <cell r="G24" t="str">
            <v>mm</v>
          </cell>
        </row>
        <row r="25">
          <cell r="B25" t="str">
            <v xml:space="preserve"> centroid of tension rein.</v>
          </cell>
        </row>
        <row r="26">
          <cell r="A26" t="str">
            <v xml:space="preserve">  Effective Cover to Center of Closest Bar</v>
          </cell>
          <cell r="E26" t="str">
            <v>dc</v>
          </cell>
          <cell r="F26">
            <v>50.8</v>
          </cell>
          <cell r="G26" t="str">
            <v>mm&lt;=2in</v>
          </cell>
        </row>
        <row r="27">
          <cell r="A27" t="str">
            <v xml:space="preserve">  Steel Strength</v>
          </cell>
          <cell r="C27">
            <v>60000</v>
          </cell>
          <cell r="D27" t="str">
            <v>Psi</v>
          </cell>
          <cell r="E27" t="str">
            <v>fy</v>
          </cell>
          <cell r="F27">
            <v>413.7</v>
          </cell>
          <cell r="G27" t="str">
            <v>MPa</v>
          </cell>
        </row>
        <row r="28">
          <cell r="A28" t="str">
            <v xml:space="preserve">  Steel Strength</v>
          </cell>
          <cell r="C28">
            <v>40000</v>
          </cell>
          <cell r="D28" t="str">
            <v>Psi</v>
          </cell>
          <cell r="E28" t="str">
            <v>f'y</v>
          </cell>
          <cell r="F28">
            <v>275.8</v>
          </cell>
          <cell r="G28" t="str">
            <v>MPa</v>
          </cell>
        </row>
        <row r="29">
          <cell r="A29" t="str">
            <v xml:space="preserve">  Concrete Strength</v>
          </cell>
          <cell r="E29" t="str">
            <v>f'c</v>
          </cell>
          <cell r="F29">
            <v>30</v>
          </cell>
          <cell r="G29" t="str">
            <v>MPa</v>
          </cell>
        </row>
        <row r="31">
          <cell r="A31" t="str">
            <v>Moment Capacity</v>
          </cell>
        </row>
        <row r="32">
          <cell r="A32" t="str">
            <v xml:space="preserve">  Reduction Factor</v>
          </cell>
          <cell r="F32" t="str">
            <v>f</v>
          </cell>
          <cell r="G32">
            <v>0.7</v>
          </cell>
        </row>
        <row r="33">
          <cell r="A33" t="str">
            <v xml:space="preserve">  Tension Reinforcement</v>
          </cell>
          <cell r="D33">
            <v>7</v>
          </cell>
          <cell r="E33">
            <v>25</v>
          </cell>
          <cell r="F33" t="str">
            <v>As</v>
          </cell>
          <cell r="G33">
            <v>3549</v>
          </cell>
          <cell r="H33" t="str">
            <v>mm2</v>
          </cell>
        </row>
        <row r="34">
          <cell r="A34" t="str">
            <v xml:space="preserve">  Compression Reinforcement</v>
          </cell>
          <cell r="D34">
            <v>7</v>
          </cell>
          <cell r="E34">
            <v>22</v>
          </cell>
          <cell r="F34" t="str">
            <v>A's</v>
          </cell>
          <cell r="G34">
            <v>2716</v>
          </cell>
          <cell r="H34" t="str">
            <v>mm2</v>
          </cell>
        </row>
        <row r="35">
          <cell r="A35" t="str">
            <v xml:space="preserve">  Reinforcement Ratio</v>
          </cell>
          <cell r="F35" t="str">
            <v>r</v>
          </cell>
          <cell r="G35">
            <v>4.4749999999999998E-3</v>
          </cell>
        </row>
        <row r="36">
          <cell r="A36" t="str">
            <v xml:space="preserve">  Rectangular Stress Block Factor (8.16.2.7)</v>
          </cell>
          <cell r="F36" t="str">
            <v>b1</v>
          </cell>
          <cell r="G36">
            <v>0.85</v>
          </cell>
        </row>
        <row r="37">
          <cell r="A37" t="str">
            <v xml:space="preserve">  Condition to include comp reinf. into Section capacity (8.16.3.4)</v>
          </cell>
        </row>
        <row r="38">
          <cell r="A38" t="str">
            <v xml:space="preserve">  Checking result:</v>
          </cell>
          <cell r="C38" t="str">
            <v>Exculded, so A's must be assumped to be 0</v>
          </cell>
        </row>
        <row r="40">
          <cell r="A40" t="str">
            <v xml:space="preserve">  Rectangular Stress Block Depth</v>
          </cell>
          <cell r="F40" t="str">
            <v>a</v>
          </cell>
          <cell r="G40">
            <v>57.577305882352945</v>
          </cell>
          <cell r="H40" t="str">
            <v>mm</v>
          </cell>
        </row>
        <row r="41">
          <cell r="A41" t="str">
            <v xml:space="preserve">  Check if comp. reinf is in comp. region or not</v>
          </cell>
          <cell r="F41" t="str">
            <v>a</v>
          </cell>
          <cell r="G41" t="str">
            <v>£</v>
          </cell>
          <cell r="H41" t="str">
            <v>2d'</v>
          </cell>
          <cell r="I41" t="str">
            <v>Enter A's = 0</v>
          </cell>
        </row>
        <row r="43">
          <cell r="A43" t="str">
            <v xml:space="preserve">  Moment Capacity</v>
          </cell>
          <cell r="C43" t="str">
            <v>Mr</v>
          </cell>
          <cell r="D43">
            <v>1409.2691945874199</v>
          </cell>
          <cell r="E43" t="str">
            <v>&lt;</v>
          </cell>
          <cell r="F43">
            <v>1700.5001719315139</v>
          </cell>
          <cell r="G43" t="str">
            <v>kN.m</v>
          </cell>
          <cell r="I43" t="str">
            <v>Not enough</v>
          </cell>
        </row>
        <row r="45">
          <cell r="A45" t="str">
            <v xml:space="preserve">  Check Balanced Reinf.</v>
          </cell>
        </row>
        <row r="46">
          <cell r="B46" t="str">
            <v>When A's=0 (8.16.3.1.1)</v>
          </cell>
          <cell r="E46" t="str">
            <v>r   £</v>
          </cell>
          <cell r="F46" t="str">
            <v>0.75rb</v>
          </cell>
          <cell r="G46">
            <v>2.3258229550302264E-2</v>
          </cell>
          <cell r="I46" t="str">
            <v>O.K.</v>
          </cell>
        </row>
        <row r="47">
          <cell r="B47" t="str">
            <v>When A's &lt;&gt; 0 (8.16.3.4.3)</v>
          </cell>
          <cell r="E47" t="str">
            <v>r   £</v>
          </cell>
          <cell r="F47" t="str">
            <v>rb</v>
          </cell>
          <cell r="G47">
            <v>3.2950972733736344E-2</v>
          </cell>
          <cell r="I47" t="str">
            <v>O.K.</v>
          </cell>
        </row>
        <row r="48">
          <cell r="A48" t="str">
            <v xml:space="preserve">  Check Cracking Moment (8.17.1.1)</v>
          </cell>
          <cell r="E48" t="str">
            <v>Mr   ³</v>
          </cell>
          <cell r="F48" t="str">
            <v>1.2Mcr</v>
          </cell>
          <cell r="G48">
            <v>1535.5401899657331</v>
          </cell>
          <cell r="H48" t="str">
            <v>kN•m</v>
          </cell>
          <cell r="I48" t="str">
            <v>Not enough</v>
          </cell>
        </row>
        <row r="50">
          <cell r="A50" t="str">
            <v xml:space="preserve">   * Acceptable if Mr &gt; 1.33Mf</v>
          </cell>
        </row>
        <row r="52">
          <cell r="A52" t="str">
            <v>Shear Capacity</v>
          </cell>
        </row>
        <row r="53">
          <cell r="A53" t="str">
            <v xml:space="preserve">  Reduction Factor for Shear (8.16.1.2.1)</v>
          </cell>
          <cell r="E53" t="str">
            <v>fv</v>
          </cell>
          <cell r="F53">
            <v>0.85</v>
          </cell>
        </row>
        <row r="54">
          <cell r="A54" t="str">
            <v xml:space="preserve">  Total Reinforcment</v>
          </cell>
          <cell r="C54">
            <v>7</v>
          </cell>
          <cell r="D54">
            <v>16</v>
          </cell>
          <cell r="E54" t="str">
            <v>Av</v>
          </cell>
          <cell r="F54">
            <v>1386</v>
          </cell>
          <cell r="G54" t="str">
            <v>mm2</v>
          </cell>
        </row>
        <row r="55">
          <cell r="A55" t="str">
            <v xml:space="preserve">  Shear Reinforcement Spacing</v>
          </cell>
          <cell r="E55" t="str">
            <v>s</v>
          </cell>
          <cell r="F55">
            <v>400</v>
          </cell>
          <cell r="G55" t="str">
            <v>mm</v>
          </cell>
        </row>
        <row r="56">
          <cell r="A56" t="str">
            <v xml:space="preserve">  Shear in Concrete Section (8.16.6.2.1)</v>
          </cell>
          <cell r="E56" t="str">
            <v>Vc</v>
          </cell>
          <cell r="F56">
            <v>1212.6398772014275</v>
          </cell>
          <cell r="G56" t="str">
            <v>kN</v>
          </cell>
        </row>
        <row r="57">
          <cell r="A57" t="str">
            <v xml:space="preserve">  Shear in Reinforcement (8.16.6.3)</v>
          </cell>
          <cell r="E57" t="str">
            <v>Vs</v>
          </cell>
          <cell r="F57">
            <v>1337.9058</v>
          </cell>
          <cell r="G57" t="str">
            <v>kN</v>
          </cell>
        </row>
        <row r="59">
          <cell r="A59" t="str">
            <v xml:space="preserve">  Shear Capacity</v>
          </cell>
          <cell r="E59" t="str">
            <v>Vr</v>
          </cell>
          <cell r="F59">
            <v>2167.9638256212133</v>
          </cell>
          <cell r="G59" t="str">
            <v>kN</v>
          </cell>
          <cell r="I59" t="str">
            <v>O.K.</v>
          </cell>
        </row>
        <row r="61">
          <cell r="A61" t="str">
            <v xml:space="preserve">  Check Minimum Reinf.** (8.19.1.2)</v>
          </cell>
          <cell r="E61" t="str">
            <v>Av   ³</v>
          </cell>
          <cell r="F61" t="str">
            <v>Avmin</v>
          </cell>
          <cell r="G61">
            <v>333.57505438723712</v>
          </cell>
          <cell r="H61" t="str">
            <v>mm2</v>
          </cell>
          <cell r="I61" t="str">
            <v>O.K.</v>
          </cell>
        </row>
        <row r="62">
          <cell r="A62" t="str">
            <v xml:space="preserve">  Check Maximum Spacing (8.19.3)</v>
          </cell>
          <cell r="E62" t="str">
            <v>s   £</v>
          </cell>
          <cell r="F62" t="str">
            <v>smax</v>
          </cell>
          <cell r="G62">
            <v>600</v>
          </cell>
          <cell r="H62" t="str">
            <v>mm</v>
          </cell>
          <cell r="I62" t="str">
            <v>O.K.</v>
          </cell>
        </row>
        <row r="65">
          <cell r="B65">
            <v>10</v>
          </cell>
          <cell r="C65">
            <v>13</v>
          </cell>
          <cell r="D65">
            <v>16</v>
          </cell>
          <cell r="E65">
            <v>19</v>
          </cell>
          <cell r="F65">
            <v>22</v>
          </cell>
          <cell r="G65">
            <v>25</v>
          </cell>
          <cell r="H65">
            <v>29</v>
          </cell>
          <cell r="I65">
            <v>32</v>
          </cell>
          <cell r="J65">
            <v>35</v>
          </cell>
        </row>
        <row r="66">
          <cell r="B66">
            <v>71</v>
          </cell>
          <cell r="C66">
            <v>127</v>
          </cell>
          <cell r="D66">
            <v>198</v>
          </cell>
          <cell r="E66">
            <v>285</v>
          </cell>
          <cell r="F66">
            <v>388</v>
          </cell>
          <cell r="G66">
            <v>507</v>
          </cell>
          <cell r="H66">
            <v>641</v>
          </cell>
          <cell r="I66">
            <v>792</v>
          </cell>
          <cell r="J66">
            <v>985</v>
          </cell>
        </row>
      </sheetData>
      <sheetData sheetId="2" refreshError="1">
        <row r="11">
          <cell r="J11">
            <v>1</v>
          </cell>
        </row>
      </sheetData>
      <sheetData sheetId="3" refreshError="1">
        <row r="11">
          <cell r="J11">
            <v>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  <sheetName val="Xuly Data"/>
      <sheetName val="thang 2"/>
      <sheetName val="thang 3"/>
      <sheetName val="thang 4"/>
      <sheetName val="thang 5"/>
      <sheetName val="BG ENGLISH"/>
      <sheetName val="SQTMat"/>
      <sheetName val="CPMAY"/>
      <sheetName val="QTOAN V.TU"/>
      <sheetName val="BKE VTU"/>
      <sheetName val="CPNC"/>
      <sheetName val="CPC"/>
      <sheetName val="TH CHI P"/>
      <sheetName val="T.K dngang"/>
      <sheetName val="TKHO"/>
      <sheetName val="SCT CNO"/>
      <sheetName val="SO BAN DAU"/>
      <sheetName val="B C.CONG"/>
      <sheetName val=" bangthanhtoanluonggiantiep"/>
      <sheetName val="BPTLGT cong "/>
      <sheetName val="LGTIEP"/>
      <sheetName val="LTDUONG"/>
      <sheetName val="LUONGTT"/>
      <sheetName val="BTHL"/>
      <sheetName val="BTH C.PHI"/>
      <sheetName val="Ctacphi"/>
      <sheetName val="BTHCPHat"/>
      <sheetName val=" QUY XH"/>
      <sheetName val="CDoan"/>
      <sheetName val="BCQTCdoan"/>
      <sheetName val="XL4Test5"/>
      <sheetName val="p1L-l=21m"/>
      <sheetName val="B-B"/>
      <sheetName val="Analysis"/>
      <sheetName val="C-C"/>
      <sheetName val="D-D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M"/>
      <sheetName val="VL"/>
      <sheetName val="L"/>
      <sheetName val="THGT"/>
      <sheetName val="THDG"/>
      <sheetName val="DG"/>
      <sheetName val="XL4Poppy"/>
      <sheetName val="NC"/>
      <sheetName val="[luongCAU 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O REV.0"/>
      <sheetName val="CABLE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Do K"/>
      <sheetName val="G hop"/>
      <sheetName val="DCTC"/>
      <sheetName val="T hop"/>
      <sheetName val="Sheet1"/>
      <sheetName val="TPHcat"/>
      <sheetName val="TPH da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Ha Thanh"/>
      <sheetName val="0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Bia"/>
      <sheetName val="TM"/>
      <sheetName val="CT"/>
      <sheetName val="CLVL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m345+400-km345+500 (2)"/>
      <sheetName val="km337+00-km337+34 (3)"/>
      <sheetName val="cong ty so 9 VINACONEX"/>
      <sheetName val="cong ty so 9 VINACONEX (2)"/>
      <sheetName val="CT Duong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BR"/>
      <sheetName val="ThietKe"/>
      <sheetName val="HoSoMT"/>
      <sheetName val="GiamSat"/>
      <sheetName val="ThamDinhTKKT"/>
      <sheetName val="ThamDinhDT"/>
      <sheetName val="QLDA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TK 1331"/>
      <sheetName val="BKe Von vay"/>
      <sheetName val="CP "/>
      <sheetName val="NK Chung"/>
      <sheetName val="So cai"/>
      <sheetName val="NK Thu -Chi"/>
      <sheetName val="SQTM"/>
      <sheetName val="DKCtu"/>
      <sheetName val="CtuGso"/>
      <sheetName val="BCTC"/>
      <sheetName val="Tdoi HD"/>
      <sheetName val="40000000"/>
      <sheetName val="50000000"/>
      <sheetName val="60000000"/>
      <sheetName val="tong hop"/>
      <sheetName val="phan tich DG"/>
      <sheetName val="gia vat lieu"/>
      <sheetName val="gia xe may"/>
      <sheetName val="gia nhan cong"/>
      <sheetName val="du tru di BT,TV,BPhuoc1"/>
      <sheetName val="BD52"/>
      <sheetName val="Coc 52"/>
      <sheetName val="BD225"/>
      <sheetName val="Coc 225"/>
      <sheetName val="KHNN"/>
      <sheetName val="DPRRtm"/>
      <sheetName val="[99Q3299(REV.0).xlsÝK253 AC"/>
      <sheetName val="MTO REV_0"/>
      <sheetName val="Quang T2i"/>
      <sheetName val="Quang Ngaa"/>
      <sheetName val="Suachua"/>
      <sheetName val="PhanTienXuan"/>
      <sheetName val="Quy"/>
      <sheetName val="NguyenHuyen"/>
      <sheetName val="LeVanDung"/>
      <sheetName val="Co gioi- Nam Mu"/>
      <sheetName val="Co gioi -Na Hang"/>
      <sheetName val="PVNA"/>
      <sheetName val="ToDien"/>
      <sheetName val="Le Thanh Buong"/>
      <sheetName val="B ay"/>
      <sheetName val="S y"/>
      <sheetName val="Gian tiep"/>
      <sheetName val="Ky Thuat"/>
      <sheetName val="Tonghop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LUONG1"/>
      <sheetName val="Khoan khau tru"/>
      <sheetName val="cac khoan nop"/>
      <sheetName val="Doan phi CD"/>
      <sheetName val="Tro giup CN"/>
      <sheetName val="QTOAN C.T"/>
      <sheetName val="B.PPL"/>
      <sheetName val="Hop don vi"/>
      <sheetName val="XIN T.TOAN CPC"/>
      <sheetName val="Luong ranh PL"/>
      <sheetName val="Luong noi TPL"/>
      <sheetName val="CAP PHAT LUONG"/>
      <sheetName val="DTCT"/>
      <sheetName val="PTVT"/>
      <sheetName val="THDT"/>
      <sheetName val="THVT"/>
      <sheetName val="THGT"/>
      <sheetName val="DSKH HN"/>
      <sheetName val="NKY "/>
      <sheetName val="DS-TT"/>
      <sheetName val=" HN NHAP"/>
      <sheetName val="KHO HN"/>
      <sheetName val="CNO "/>
      <sheetName val="kࡨ24-11"/>
      <sheetName val="K243 K98"/>
      <sheetName val="_x000b_255"/>
      <sheetName val="VAY"/>
      <sheetName val="Bom"/>
      <sheetName val="Chart1"/>
      <sheetName val="thang1"/>
      <sheetName val=""/>
      <sheetName val="Duong cong_x0000_vu hcm (7;) (2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Cham cong (5)"/>
      <sheetName val="D_x0003_TC"/>
      <sheetName val="TL kenh Hon Cut"/>
      <sheetName val="Hon Soi"/>
      <sheetName val="_99Q3299(REV.0).xlsÝK253 AC"/>
      <sheetName val="km341+1077 -km341+!177.61"/>
      <sheetName val="ၨt 24-11"/>
      <sheetName val="DT"/>
      <sheetName val="CP"/>
      <sheetName val="BCT6"/>
      <sheetName val="Tien luong"/>
      <sheetName val="Phan tich"/>
      <sheetName val="Kinh phi"/>
      <sheetName val="Chenh lech"/>
      <sheetName val="TH phan dien"/>
      <sheetName val="Tong hop PXL"/>
      <sheetName val="Van chuyen"/>
      <sheetName val="TH toan bo"/>
      <sheetName val="KP phan dien"/>
      <sheetName val="Phan nuoc"/>
      <sheetName val="TH phan nuoc"/>
      <sheetName val="Kinh phi TDCD"/>
      <sheetName val="Phan tich TDCD"/>
      <sheetName val="Chen lech TDCD"/>
      <sheetName val="Tong hop TDCD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H-QN_x0000__x0000__x0000__x0000__x0000__x0000__x0000__x0000__x0000__x0000__x0000_줔Ư_x0000__x0004__x0000__x0000__x0000__x0000__x0000__x0000_圌Ư_x0000__x0000__x0000__x0000_"/>
      <sheetName val="THUTHAU6Tџ2000"/>
      <sheetName val="tde"/>
      <sheetName val="tong"/>
      <sheetName val="Lamson"/>
      <sheetName val="luongson"/>
      <sheetName val="phuoctien"/>
      <sheetName val="phuoc dai"/>
      <sheetName val="phuocthang"/>
      <sheetName val="phuocthanh"/>
      <sheetName val="KP ÿÿ"/>
      <sheetName val="Y_x0000__x0004_HD"/>
      <sheetName val="HT01-DVHC"/>
      <sheetName val="HT02TPKT"/>
      <sheetName val="HT03-SDNN"/>
      <sheetName val="HT04-KDCNT"/>
      <sheetName val="HT05-6loaidat"/>
      <sheetName val="HT06-Biendong95-03"/>
      <sheetName val="04a1-DBSHo"/>
      <sheetName val="04a2-soho"/>
      <sheetName val="qhNN3vung"/>
      <sheetName val="QH 6 loai dat"/>
      <sheetName val="qhdvhc"/>
      <sheetName val="2003-2005-2010"/>
      <sheetName val="07-DTTD-HPhu"/>
      <sheetName val="04a4KHMRdothi"/>
      <sheetName val="08-datdothi"/>
      <sheetName val="ThanhcoSONTAY"/>
      <sheetName val="Thanhco tong hop"/>
      <sheetName val="Truong Ba Trai(xong)"/>
      <sheetName val="QL32Tranh ST"/>
      <sheetName val="NGUYEN VAN TROI Goi3"/>
      <sheetName val="Nut GT D.Anh Troi (xong)"/>
      <sheetName val="B.xung D.DanHoa-ThanhVan(xong)"/>
      <sheetName val="Cai tao ben Tro(xong)"/>
      <sheetName val="Dien Tien phong (Bx)"/>
      <sheetName val="Cong Tan My"/>
      <sheetName val="Tong hop(Chinh)"/>
      <sheetName val="De Ta Lo(Xong)"/>
      <sheetName val="Duong 79 - Goi 3 nt"/>
      <sheetName val="Duong 79-Goi 3 sap xep"/>
      <sheetName val="Duong79-Goi3BS2004"/>
      <sheetName val="Duong 79 - Goi 3"/>
      <sheetName val="Duong 79 - Goi 2 (2)"/>
      <sheetName val="Duong 79 - Goi 2"/>
      <sheetName val="Duong79-Goi 2-BS2004"/>
      <sheetName val="Duong NM Z 143"/>
      <sheetName val="Duong 88-VT (3)"/>
      <sheetName val="Duong 88-VT (2)"/>
      <sheetName val="The kho"/>
      <sheetName val="Duong 88-VT"/>
      <sheetName val="Duong Tanphu Daithanh"/>
      <sheetName val="Rang Duoi"/>
      <sheetName val="Duong 21A-DongMo"/>
      <sheetName val="Cau Ngoi Tom"/>
      <sheetName val="Tinhlo316 LAPHU-THANHSON"/>
      <sheetName val="Tinh lo 316 gd 2"/>
      <sheetName val="Tinh lo 316 QT (2)"/>
      <sheetName val="Tinh lo 316 QT"/>
    </sheetNames>
    <sheetDataSet>
      <sheetData sheetId="0" refreshError="1">
        <row r="1">
          <cell r="A1" t="str">
            <v>PRICE BREAKDOWN FOR ELECTRICAL INSTALLATION WORK</v>
          </cell>
          <cell r="B1">
            <v>0</v>
          </cell>
          <cell r="C1">
            <v>-195</v>
          </cell>
          <cell r="D1" t="str">
            <v>M</v>
          </cell>
          <cell r="E1">
            <v>38</v>
          </cell>
          <cell r="F1">
            <v>-7410</v>
          </cell>
          <cell r="G1" t="str">
            <v xml:space="preserve"> </v>
          </cell>
          <cell r="H1">
            <v>0</v>
          </cell>
          <cell r="I1">
            <v>0</v>
          </cell>
          <cell r="J1">
            <v>0</v>
          </cell>
          <cell r="K1" t="str">
            <v xml:space="preserve"> </v>
          </cell>
          <cell r="L1" t="str">
            <v>M+L</v>
          </cell>
          <cell r="M1">
            <v>0</v>
          </cell>
          <cell r="N1">
            <v>0</v>
          </cell>
          <cell r="O1">
            <v>60</v>
          </cell>
          <cell r="P1">
            <v>114600</v>
          </cell>
          <cell r="Q1">
            <v>0</v>
          </cell>
        </row>
        <row r="2">
          <cell r="B2" t="str">
            <v>??  LNG TERMINAL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 t="str">
            <v xml:space="preserve"> </v>
          </cell>
          <cell r="H2">
            <v>0</v>
          </cell>
          <cell r="I2" t="str">
            <v>CTCI Q. NO. : 99Q3299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>CTCI Q. NO. : 99Q3299</v>
          </cell>
        </row>
        <row r="3">
          <cell r="B3" t="str">
            <v>LOCATION: ?? ?????</v>
          </cell>
        </row>
        <row r="4">
          <cell r="A4">
            <v>0</v>
          </cell>
        </row>
        <row r="5">
          <cell r="E5" t="str">
            <v xml:space="preserve">                  TO SITE</v>
          </cell>
          <cell r="F5">
            <v>0</v>
          </cell>
          <cell r="G5" t="str">
            <v xml:space="preserve">                  TO SITE</v>
          </cell>
          <cell r="H5">
            <v>0</v>
          </cell>
          <cell r="I5">
            <v>0</v>
          </cell>
          <cell r="J5">
            <v>0</v>
          </cell>
          <cell r="K5" t="str">
            <v xml:space="preserve">                  TO SITE</v>
          </cell>
          <cell r="L5">
            <v>0</v>
          </cell>
          <cell r="M5" t="str">
            <v xml:space="preserve">                  TO SITE</v>
          </cell>
        </row>
        <row r="6">
          <cell r="E6" t="str">
            <v xml:space="preserve"> ON SHORE MAT'L (NET) NT$</v>
          </cell>
          <cell r="F6">
            <v>0</v>
          </cell>
          <cell r="G6" t="str">
            <v xml:space="preserve"> OFF SHORE MAT'L (NET) US$</v>
          </cell>
          <cell r="H6">
            <v>0</v>
          </cell>
          <cell r="I6" t="str">
            <v xml:space="preserve">          LABOR MH (NET) </v>
          </cell>
          <cell r="J6">
            <v>0</v>
          </cell>
          <cell r="K6" t="str">
            <v xml:space="preserve">     ON SHORE MAT'L NT$</v>
          </cell>
          <cell r="L6">
            <v>0</v>
          </cell>
          <cell r="M6" t="str">
            <v xml:space="preserve">   OFF SHORE MAT'L US$</v>
          </cell>
          <cell r="N6">
            <v>0</v>
          </cell>
          <cell r="O6" t="str">
            <v xml:space="preserve">        LABOR PRICE NT$</v>
          </cell>
          <cell r="P6">
            <v>0</v>
          </cell>
          <cell r="Q6" t="str">
            <v>REMARK</v>
          </cell>
        </row>
        <row r="7">
          <cell r="A7" t="str">
            <v>NO.</v>
          </cell>
          <cell r="B7" t="str">
            <v>DESCRIPTION</v>
          </cell>
          <cell r="C7" t="str">
            <v>Q'TY</v>
          </cell>
          <cell r="D7" t="str">
            <v>UNIT</v>
          </cell>
          <cell r="E7" t="str">
            <v>U/P</v>
          </cell>
          <cell r="F7" t="str">
            <v>TOTAL</v>
          </cell>
          <cell r="G7" t="str">
            <v>U/P</v>
          </cell>
          <cell r="H7" t="str">
            <v>TOTAL</v>
          </cell>
          <cell r="I7" t="str">
            <v>U/P</v>
          </cell>
          <cell r="J7" t="str">
            <v>TOTAL</v>
          </cell>
          <cell r="K7" t="str">
            <v>U/P</v>
          </cell>
          <cell r="L7" t="str">
            <v>TOTAL</v>
          </cell>
          <cell r="M7" t="str">
            <v>U/P</v>
          </cell>
          <cell r="N7" t="str">
            <v>TOTAL</v>
          </cell>
          <cell r="O7" t="str">
            <v>U/P</v>
          </cell>
          <cell r="P7" t="str">
            <v>TOTAL</v>
          </cell>
        </row>
        <row r="9">
          <cell r="A9" t="str">
            <v>ALT-1</v>
          </cell>
          <cell r="B9" t="str">
            <v xml:space="preserve">         PRICE SUMMARY</v>
          </cell>
        </row>
        <row r="11">
          <cell r="A11" t="str">
            <v xml:space="preserve">  A.</v>
          </cell>
          <cell r="B11" t="str">
            <v xml:space="preserve"> POWER EQUIPMENT </v>
          </cell>
          <cell r="C11">
            <v>1</v>
          </cell>
          <cell r="D11" t="str">
            <v>LOT</v>
          </cell>
          <cell r="E11">
            <v>138612100</v>
          </cell>
          <cell r="F11">
            <v>138612100</v>
          </cell>
          <cell r="G11">
            <v>0</v>
          </cell>
          <cell r="H11">
            <v>0</v>
          </cell>
          <cell r="I11">
            <v>13764</v>
          </cell>
          <cell r="J11">
            <v>13764</v>
          </cell>
          <cell r="K11">
            <v>138612100</v>
          </cell>
          <cell r="L11">
            <v>138612100</v>
          </cell>
          <cell r="M11">
            <v>0</v>
          </cell>
          <cell r="N11">
            <v>0</v>
          </cell>
          <cell r="O11">
            <v>6155030</v>
          </cell>
          <cell r="P11">
            <v>6155030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 xml:space="preserve">  B.</v>
          </cell>
          <cell r="B13" t="str">
            <v xml:space="preserve"> POWER DISTRIBUTION SYSTEM</v>
          </cell>
          <cell r="C13">
            <v>130730</v>
          </cell>
          <cell r="D13" t="str">
            <v>M</v>
          </cell>
          <cell r="E13">
            <v>178.00177465004208</v>
          </cell>
          <cell r="F13">
            <v>23270172</v>
          </cell>
          <cell r="G13">
            <v>0</v>
          </cell>
          <cell r="H13">
            <v>0</v>
          </cell>
          <cell r="I13">
            <v>0.25310181289681022</v>
          </cell>
          <cell r="J13">
            <v>33088</v>
          </cell>
          <cell r="K13">
            <v>178.00177465004208</v>
          </cell>
          <cell r="L13">
            <v>23270172</v>
          </cell>
          <cell r="M13">
            <v>0</v>
          </cell>
          <cell r="N13">
            <v>0</v>
          </cell>
          <cell r="O13">
            <v>70.851243019964812</v>
          </cell>
          <cell r="P13">
            <v>9262383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 xml:space="preserve">  C.</v>
          </cell>
          <cell r="B15" t="str">
            <v xml:space="preserve"> LIGHTING SYSTEM</v>
          </cell>
          <cell r="C15">
            <v>508</v>
          </cell>
          <cell r="D15" t="str">
            <v>SET</v>
          </cell>
          <cell r="E15">
            <v>18871.641732283464</v>
          </cell>
          <cell r="F15">
            <v>9586794</v>
          </cell>
          <cell r="G15">
            <v>0</v>
          </cell>
          <cell r="H15">
            <v>0</v>
          </cell>
          <cell r="I15">
            <v>28.084645669291337</v>
          </cell>
          <cell r="J15">
            <v>14267</v>
          </cell>
          <cell r="K15">
            <v>18871.641732283464</v>
          </cell>
          <cell r="L15">
            <v>9586794</v>
          </cell>
          <cell r="M15">
            <v>0</v>
          </cell>
          <cell r="N15">
            <v>0</v>
          </cell>
          <cell r="O15">
            <v>8470.6830708661419</v>
          </cell>
          <cell r="P15">
            <v>4303107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 xml:space="preserve">  D.</v>
          </cell>
          <cell r="B17" t="str">
            <v xml:space="preserve"> GROUNDING &amp; LIGHTNING PROTECTION SYSTEM</v>
          </cell>
          <cell r="C17">
            <v>8620</v>
          </cell>
          <cell r="D17" t="str">
            <v>M</v>
          </cell>
          <cell r="E17">
            <v>104.6885150812065</v>
          </cell>
          <cell r="F17">
            <v>902415</v>
          </cell>
          <cell r="G17">
            <v>0</v>
          </cell>
          <cell r="H17">
            <v>0</v>
          </cell>
          <cell r="I17">
            <v>0.40336426914153134</v>
          </cell>
          <cell r="J17">
            <v>3477</v>
          </cell>
          <cell r="K17">
            <v>104.6885150812065</v>
          </cell>
          <cell r="L17">
            <v>902415</v>
          </cell>
          <cell r="M17">
            <v>0</v>
          </cell>
          <cell r="N17">
            <v>0</v>
          </cell>
          <cell r="O17">
            <v>146.95568445475638</v>
          </cell>
          <cell r="P17">
            <v>1266758</v>
          </cell>
        </row>
        <row r="18">
          <cell r="B18" t="str">
            <v>480/240V, 20KVA</v>
          </cell>
          <cell r="C18">
            <v>6</v>
          </cell>
          <cell r="D18" t="str">
            <v>SET</v>
          </cell>
          <cell r="E18">
            <v>30000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 xml:space="preserve">  E.</v>
          </cell>
          <cell r="B19" t="str">
            <v xml:space="preserve"> TELEPHONE SYSTEM</v>
          </cell>
          <cell r="C19">
            <v>2250</v>
          </cell>
          <cell r="D19" t="str">
            <v>M</v>
          </cell>
          <cell r="E19">
            <v>219.19555555555556</v>
          </cell>
          <cell r="F19">
            <v>493190</v>
          </cell>
          <cell r="G19">
            <v>0</v>
          </cell>
          <cell r="H19">
            <v>0</v>
          </cell>
          <cell r="I19">
            <v>0.20088888888888889</v>
          </cell>
          <cell r="J19">
            <v>452</v>
          </cell>
          <cell r="K19">
            <v>219.19555555555556</v>
          </cell>
          <cell r="L19">
            <v>493190</v>
          </cell>
          <cell r="M19">
            <v>0</v>
          </cell>
          <cell r="N19">
            <v>0</v>
          </cell>
          <cell r="O19">
            <v>56.222222222222221</v>
          </cell>
          <cell r="P19">
            <v>126500</v>
          </cell>
        </row>
        <row r="20"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 xml:space="preserve">  F.</v>
          </cell>
          <cell r="B21" t="str">
            <v xml:space="preserve"> PAGE/INTERCOMMUNICATION SYSTEM</v>
          </cell>
          <cell r="C21">
            <v>15</v>
          </cell>
          <cell r="D21" t="str">
            <v>SET</v>
          </cell>
          <cell r="E21">
            <v>67271.8</v>
          </cell>
          <cell r="F21">
            <v>1009077</v>
          </cell>
          <cell r="G21">
            <v>0</v>
          </cell>
          <cell r="H21">
            <v>0</v>
          </cell>
          <cell r="I21">
            <v>87.266666666666666</v>
          </cell>
          <cell r="J21">
            <v>1309</v>
          </cell>
          <cell r="K21">
            <v>67271.8</v>
          </cell>
          <cell r="L21">
            <v>1009077</v>
          </cell>
          <cell r="M21">
            <v>0</v>
          </cell>
          <cell r="N21">
            <v>0</v>
          </cell>
          <cell r="O21">
            <v>24435.333333333332</v>
          </cell>
          <cell r="P21">
            <v>366530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 xml:space="preserve">  G.</v>
          </cell>
          <cell r="B23" t="str">
            <v xml:space="preserve"> CCTV SYSTEM</v>
          </cell>
          <cell r="C23">
            <v>6</v>
          </cell>
          <cell r="D23" t="str">
            <v>SET</v>
          </cell>
          <cell r="E23">
            <v>291143.16666666669</v>
          </cell>
          <cell r="F23">
            <v>1746859</v>
          </cell>
          <cell r="G23">
            <v>0</v>
          </cell>
          <cell r="H23">
            <v>0</v>
          </cell>
          <cell r="I23">
            <v>221</v>
          </cell>
          <cell r="J23">
            <v>1326</v>
          </cell>
          <cell r="K23">
            <v>291143.16666666669</v>
          </cell>
          <cell r="L23">
            <v>1746859</v>
          </cell>
          <cell r="M23">
            <v>0</v>
          </cell>
          <cell r="N23">
            <v>0</v>
          </cell>
          <cell r="O23">
            <v>61933.5</v>
          </cell>
          <cell r="P23">
            <v>371601</v>
          </cell>
        </row>
        <row r="24"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 xml:space="preserve">  H.</v>
          </cell>
          <cell r="B25" t="str">
            <v xml:space="preserve"> CATHODIC PROTECTION SYSTEM</v>
          </cell>
          <cell r="C25">
            <v>60</v>
          </cell>
          <cell r="D25" t="str">
            <v>PC</v>
          </cell>
          <cell r="E25">
            <v>12445.316666666668</v>
          </cell>
          <cell r="F25">
            <v>746719</v>
          </cell>
          <cell r="G25">
            <v>0</v>
          </cell>
          <cell r="H25">
            <v>0</v>
          </cell>
          <cell r="I25">
            <v>17.083333333333332</v>
          </cell>
          <cell r="J25">
            <v>1025</v>
          </cell>
          <cell r="K25">
            <v>12445.316666666668</v>
          </cell>
          <cell r="L25">
            <v>746719</v>
          </cell>
          <cell r="M25">
            <v>0</v>
          </cell>
          <cell r="N25">
            <v>0</v>
          </cell>
          <cell r="O25">
            <v>6387.1</v>
          </cell>
          <cell r="P25">
            <v>383226</v>
          </cell>
        </row>
        <row r="26">
          <cell r="B26">
            <v>0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A27" t="str">
            <v xml:space="preserve">  I.</v>
          </cell>
          <cell r="B27" t="str">
            <v>APS SYSTEM</v>
          </cell>
          <cell r="C27">
            <v>60</v>
          </cell>
          <cell r="D27" t="str">
            <v>SET</v>
          </cell>
          <cell r="E27">
            <v>260365.88333333333</v>
          </cell>
          <cell r="F27">
            <v>15621953</v>
          </cell>
          <cell r="G27">
            <v>0</v>
          </cell>
          <cell r="H27">
            <v>0</v>
          </cell>
          <cell r="I27">
            <v>227.13333333333333</v>
          </cell>
          <cell r="J27">
            <v>13628</v>
          </cell>
          <cell r="K27">
            <v>260365.88333333333</v>
          </cell>
          <cell r="L27">
            <v>15621953</v>
          </cell>
          <cell r="M27">
            <v>0</v>
          </cell>
          <cell r="N27">
            <v>0</v>
          </cell>
          <cell r="O27">
            <v>63605.433333333334</v>
          </cell>
          <cell r="P27">
            <v>3816326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A29" t="str">
            <v xml:space="preserve">  J.</v>
          </cell>
          <cell r="B29" t="str">
            <v>U/G CONDUIT BANK</v>
          </cell>
          <cell r="C29">
            <v>2850</v>
          </cell>
          <cell r="D29" t="str">
            <v>M3</v>
          </cell>
          <cell r="E29">
            <v>2070.4561403508774</v>
          </cell>
          <cell r="F29">
            <v>5900800</v>
          </cell>
          <cell r="G29">
            <v>0</v>
          </cell>
          <cell r="H29">
            <v>0</v>
          </cell>
          <cell r="I29">
            <v>9.5898245614035087</v>
          </cell>
          <cell r="J29">
            <v>27331</v>
          </cell>
          <cell r="K29">
            <v>2070.4561403508774</v>
          </cell>
          <cell r="L29">
            <v>5900800</v>
          </cell>
          <cell r="M29">
            <v>0</v>
          </cell>
          <cell r="N29">
            <v>0</v>
          </cell>
          <cell r="O29">
            <v>7703.0175438596489</v>
          </cell>
          <cell r="P29">
            <v>21953600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1.7652958621831609E-284</v>
          </cell>
        </row>
        <row r="32">
          <cell r="A32">
            <v>22.062500003958178</v>
          </cell>
          <cell r="B32" t="str">
            <v>TOTAL (ALT-1)</v>
          </cell>
          <cell r="C32">
            <v>0</v>
          </cell>
          <cell r="D32">
            <v>0</v>
          </cell>
          <cell r="E32">
            <v>0</v>
          </cell>
          <cell r="F32">
            <v>197890079</v>
          </cell>
          <cell r="G32">
            <v>0</v>
          </cell>
          <cell r="H32">
            <v>0</v>
          </cell>
          <cell r="I32">
            <v>0</v>
          </cell>
          <cell r="J32">
            <v>109667</v>
          </cell>
          <cell r="K32">
            <v>0</v>
          </cell>
          <cell r="L32">
            <v>197890079</v>
          </cell>
          <cell r="M32">
            <v>0</v>
          </cell>
          <cell r="N32">
            <v>0</v>
          </cell>
          <cell r="O32">
            <v>0</v>
          </cell>
          <cell r="P32">
            <v>48005061</v>
          </cell>
          <cell r="Q32">
            <v>109667</v>
          </cell>
        </row>
        <row r="33">
          <cell r="H33">
            <v>0</v>
          </cell>
          <cell r="Q33">
            <v>0</v>
          </cell>
        </row>
        <row r="34">
          <cell r="A34" t="str">
            <v>OTHER</v>
          </cell>
          <cell r="B34" t="str">
            <v xml:space="preserve"> CATHODIC PROTECTION SYSTEM  FOR TRUNK LINE</v>
          </cell>
          <cell r="C34">
            <v>1</v>
          </cell>
          <cell r="D34" t="str">
            <v>LOT</v>
          </cell>
          <cell r="E34">
            <v>0</v>
          </cell>
          <cell r="F34">
            <v>4357694</v>
          </cell>
          <cell r="G34">
            <v>0</v>
          </cell>
          <cell r="H34">
            <v>0</v>
          </cell>
          <cell r="I34">
            <v>0</v>
          </cell>
          <cell r="J34">
            <v>6089</v>
          </cell>
          <cell r="K34">
            <v>0</v>
          </cell>
          <cell r="L34">
            <v>4357694</v>
          </cell>
          <cell r="M34">
            <v>0</v>
          </cell>
          <cell r="N34">
            <v>0</v>
          </cell>
          <cell r="O34">
            <v>0</v>
          </cell>
          <cell r="P34">
            <v>2372268</v>
          </cell>
          <cell r="Q34">
            <v>6089</v>
          </cell>
        </row>
        <row r="36">
          <cell r="B36" t="str">
            <v xml:space="preserve">MATERIAL PRICE ???? </v>
          </cell>
          <cell r="C36">
            <v>508</v>
          </cell>
          <cell r="D36" t="str">
            <v>SET</v>
          </cell>
        </row>
        <row r="37">
          <cell r="B37" t="str">
            <v xml:space="preserve">CAPACITOR </v>
          </cell>
          <cell r="C37">
            <v>0</v>
          </cell>
          <cell r="D37" t="str">
            <v>KVA</v>
          </cell>
        </row>
        <row r="38">
          <cell r="B38" t="str">
            <v>CABLE &amp; WIRE FOR POWER SYSTEM</v>
          </cell>
          <cell r="C38">
            <v>130730</v>
          </cell>
          <cell r="D38" t="str">
            <v>M</v>
          </cell>
        </row>
        <row r="39">
          <cell r="B39" t="str">
            <v>LIGHTING FIXTURE</v>
          </cell>
          <cell r="C39">
            <v>508</v>
          </cell>
          <cell r="D39" t="str">
            <v>SET</v>
          </cell>
        </row>
        <row r="41">
          <cell r="B41" t="str">
            <v>LABOR PRICE ????</v>
          </cell>
        </row>
        <row r="42">
          <cell r="B42" t="str">
            <v xml:space="preserve">CAPACITOR </v>
          </cell>
          <cell r="C42">
            <v>0</v>
          </cell>
          <cell r="D42" t="str">
            <v>KVA</v>
          </cell>
        </row>
        <row r="43">
          <cell r="B43" t="str">
            <v>CABLE &amp; WIRE FOR POWER SYSTEM</v>
          </cell>
          <cell r="C43">
            <v>130730</v>
          </cell>
          <cell r="D43" t="str">
            <v>M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0.73359596114128356</v>
          </cell>
          <cell r="J43">
            <v>95903</v>
          </cell>
        </row>
        <row r="44">
          <cell r="B44" t="str">
            <v>LIGHTING FIXTURE</v>
          </cell>
          <cell r="C44">
            <v>508</v>
          </cell>
          <cell r="D44" t="str">
            <v>SET</v>
          </cell>
        </row>
        <row r="46">
          <cell r="A46" t="str">
            <v>ALT-2</v>
          </cell>
          <cell r="B46">
            <v>0</v>
          </cell>
          <cell r="C46" t="str">
            <v xml:space="preserve"> </v>
          </cell>
          <cell r="D46" t="str">
            <v xml:space="preserve"> 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A47">
            <v>1</v>
          </cell>
          <cell r="B47" t="str">
            <v xml:space="preserve">  6.9KV GCS ,  NEMA CLASS E2 , MCC PANEL</v>
          </cell>
          <cell r="C47">
            <v>-1</v>
          </cell>
          <cell r="D47" t="str">
            <v>PNL</v>
          </cell>
          <cell r="E47">
            <v>500000</v>
          </cell>
          <cell r="F47">
            <v>-500000</v>
          </cell>
          <cell r="G47">
            <v>0</v>
          </cell>
          <cell r="H47">
            <v>0</v>
          </cell>
          <cell r="I47">
            <v>20</v>
          </cell>
          <cell r="J47">
            <v>-20</v>
          </cell>
          <cell r="K47">
            <v>500000</v>
          </cell>
          <cell r="L47">
            <v>-500000</v>
          </cell>
          <cell r="M47">
            <v>0</v>
          </cell>
          <cell r="N47">
            <v>0</v>
          </cell>
          <cell r="O47">
            <v>5600</v>
          </cell>
          <cell r="P47">
            <v>-5600</v>
          </cell>
          <cell r="Q47">
            <v>0</v>
          </cell>
        </row>
        <row r="48">
          <cell r="A48">
            <v>2</v>
          </cell>
          <cell r="B48" t="str">
            <v xml:space="preserve">  600V POWER CABLE 3/C 5.5 sq.mm  XLPE/PVC</v>
          </cell>
          <cell r="C48">
            <v>-195</v>
          </cell>
          <cell r="D48" t="str">
            <v>M</v>
          </cell>
          <cell r="E48">
            <v>20</v>
          </cell>
          <cell r="F48">
            <v>-3900</v>
          </cell>
          <cell r="G48">
            <v>0</v>
          </cell>
          <cell r="H48">
            <v>0</v>
          </cell>
          <cell r="I48">
            <v>0.1</v>
          </cell>
          <cell r="J48">
            <v>-20</v>
          </cell>
          <cell r="K48">
            <v>20</v>
          </cell>
          <cell r="L48">
            <v>-3900</v>
          </cell>
          <cell r="M48">
            <v>0</v>
          </cell>
          <cell r="N48">
            <v>0</v>
          </cell>
          <cell r="O48">
            <v>28</v>
          </cell>
          <cell r="P48">
            <v>-5460</v>
          </cell>
          <cell r="Q48">
            <v>0</v>
          </cell>
        </row>
        <row r="49">
          <cell r="A49">
            <v>3</v>
          </cell>
          <cell r="B49" t="str">
            <v xml:space="preserve">  600V CONTROL CABLE 12/C 2.0 sq.mm  PVC/PVC</v>
          </cell>
          <cell r="C49">
            <v>-195</v>
          </cell>
          <cell r="D49" t="str">
            <v>M</v>
          </cell>
          <cell r="E49">
            <v>38</v>
          </cell>
          <cell r="F49">
            <v>-7410</v>
          </cell>
          <cell r="G49">
            <v>0</v>
          </cell>
          <cell r="H49">
            <v>0</v>
          </cell>
          <cell r="I49">
            <v>0.13800000000000001</v>
          </cell>
          <cell r="J49">
            <v>-27</v>
          </cell>
          <cell r="K49">
            <v>38</v>
          </cell>
          <cell r="L49">
            <v>-7410</v>
          </cell>
          <cell r="M49">
            <v>0</v>
          </cell>
          <cell r="N49">
            <v>0</v>
          </cell>
          <cell r="O49">
            <v>39</v>
          </cell>
          <cell r="P49">
            <v>-7605</v>
          </cell>
          <cell r="Q49">
            <v>0</v>
          </cell>
        </row>
        <row r="50">
          <cell r="A50">
            <v>4</v>
          </cell>
          <cell r="B50" t="str">
            <v xml:space="preserve">  8KV POWER CABLE 3/C  38 sq.mm  XLPE/PVC</v>
          </cell>
          <cell r="C50">
            <v>-580</v>
          </cell>
          <cell r="D50" t="str">
            <v>M</v>
          </cell>
          <cell r="E50">
            <v>268</v>
          </cell>
          <cell r="F50">
            <v>-155440</v>
          </cell>
          <cell r="G50">
            <v>0</v>
          </cell>
          <cell r="H50">
            <v>0</v>
          </cell>
          <cell r="I50">
            <v>0.32100000000000001</v>
          </cell>
          <cell r="J50">
            <v>-186</v>
          </cell>
          <cell r="K50">
            <v>268</v>
          </cell>
          <cell r="L50">
            <v>-155440</v>
          </cell>
          <cell r="M50">
            <v>0</v>
          </cell>
          <cell r="N50">
            <v>0</v>
          </cell>
          <cell r="O50">
            <v>90</v>
          </cell>
          <cell r="P50">
            <v>-52200</v>
          </cell>
          <cell r="Q50">
            <v>0</v>
          </cell>
        </row>
        <row r="51">
          <cell r="A51">
            <v>5</v>
          </cell>
          <cell r="B51" t="str">
            <v xml:space="preserve">  8KV POWER CABLE 3/C  60 sq.mm  XLPE/PVC</v>
          </cell>
          <cell r="C51">
            <v>390</v>
          </cell>
          <cell r="D51" t="str">
            <v>M</v>
          </cell>
          <cell r="E51">
            <v>367</v>
          </cell>
          <cell r="F51">
            <v>143130</v>
          </cell>
          <cell r="G51">
            <v>0</v>
          </cell>
          <cell r="H51">
            <v>0</v>
          </cell>
          <cell r="I51">
            <v>0.38800000000000001</v>
          </cell>
          <cell r="J51">
            <v>151</v>
          </cell>
          <cell r="K51">
            <v>367</v>
          </cell>
          <cell r="L51">
            <v>143130</v>
          </cell>
          <cell r="M51">
            <v>0</v>
          </cell>
          <cell r="N51">
            <v>0</v>
          </cell>
          <cell r="O51">
            <v>109</v>
          </cell>
          <cell r="P51">
            <v>42510</v>
          </cell>
          <cell r="Q51">
            <v>0</v>
          </cell>
        </row>
        <row r="52">
          <cell r="A52">
            <v>6</v>
          </cell>
          <cell r="B52" t="str">
            <v xml:space="preserve"> PVC CONDUIT, THICK WALL, CNS1302 SCH. B , 2"</v>
          </cell>
          <cell r="C52">
            <v>-390</v>
          </cell>
          <cell r="D52" t="str">
            <v>M</v>
          </cell>
          <cell r="E52">
            <v>38</v>
          </cell>
          <cell r="F52">
            <v>-14820</v>
          </cell>
          <cell r="G52">
            <v>0</v>
          </cell>
          <cell r="H52">
            <v>0</v>
          </cell>
          <cell r="I52">
            <v>0.3</v>
          </cell>
          <cell r="J52">
            <v>-117</v>
          </cell>
          <cell r="K52">
            <v>38</v>
          </cell>
          <cell r="L52">
            <v>-14820</v>
          </cell>
          <cell r="M52">
            <v>0</v>
          </cell>
          <cell r="N52">
            <v>0</v>
          </cell>
          <cell r="O52">
            <v>84</v>
          </cell>
          <cell r="P52">
            <v>-32760</v>
          </cell>
          <cell r="Q52">
            <v>0</v>
          </cell>
        </row>
        <row r="53">
          <cell r="A53">
            <v>7</v>
          </cell>
          <cell r="B53" t="str">
            <v xml:space="preserve"> MISCELLANEOUS </v>
          </cell>
          <cell r="C53">
            <v>1</v>
          </cell>
          <cell r="D53" t="str">
            <v>LOT</v>
          </cell>
          <cell r="E53">
            <v>-708.6</v>
          </cell>
          <cell r="F53">
            <v>-709</v>
          </cell>
          <cell r="G53">
            <v>0</v>
          </cell>
          <cell r="H53">
            <v>0</v>
          </cell>
          <cell r="I53">
            <v>-2.46</v>
          </cell>
          <cell r="J53">
            <v>-2</v>
          </cell>
          <cell r="K53">
            <v>-709</v>
          </cell>
          <cell r="L53">
            <v>-709</v>
          </cell>
          <cell r="M53">
            <v>0</v>
          </cell>
          <cell r="N53">
            <v>0</v>
          </cell>
          <cell r="O53">
            <v>-689</v>
          </cell>
          <cell r="P53">
            <v>-689</v>
          </cell>
        </row>
        <row r="54">
          <cell r="B54" t="str">
            <v>SUB-TOTAL : (ALT-1)</v>
          </cell>
          <cell r="C54">
            <v>0</v>
          </cell>
          <cell r="D54">
            <v>0</v>
          </cell>
          <cell r="E54">
            <v>0</v>
          </cell>
          <cell r="F54">
            <v>-539149</v>
          </cell>
          <cell r="G54">
            <v>0</v>
          </cell>
          <cell r="H54">
            <v>0</v>
          </cell>
          <cell r="I54">
            <v>0</v>
          </cell>
          <cell r="J54">
            <v>-221</v>
          </cell>
          <cell r="K54">
            <v>0</v>
          </cell>
          <cell r="L54">
            <v>-539149</v>
          </cell>
          <cell r="M54">
            <v>0</v>
          </cell>
          <cell r="N54">
            <v>0</v>
          </cell>
          <cell r="O54">
            <v>0</v>
          </cell>
          <cell r="P54">
            <v>-61804</v>
          </cell>
          <cell r="Q54">
            <v>-221</v>
          </cell>
        </row>
        <row r="55">
          <cell r="H55">
            <v>0</v>
          </cell>
          <cell r="I55">
            <v>0.31715698242186791</v>
          </cell>
          <cell r="J55">
            <v>98</v>
          </cell>
          <cell r="K55">
            <v>232</v>
          </cell>
          <cell r="L55">
            <v>69600</v>
          </cell>
          <cell r="M55">
            <v>0</v>
          </cell>
          <cell r="N55">
            <v>0</v>
          </cell>
          <cell r="O55">
            <v>91</v>
          </cell>
          <cell r="P55">
            <v>27300</v>
          </cell>
        </row>
        <row r="56">
          <cell r="A56" t="str">
            <v>ALT-3</v>
          </cell>
        </row>
        <row r="57">
          <cell r="A57">
            <v>1</v>
          </cell>
          <cell r="B57" t="str">
            <v xml:space="preserve"> AUTO-TRANSFORMER FOR 6.9KV 8500KW MOTOR STARTER , </v>
          </cell>
          <cell r="C57">
            <v>1</v>
          </cell>
          <cell r="D57" t="str">
            <v>SET</v>
          </cell>
          <cell r="E57">
            <v>484000</v>
          </cell>
          <cell r="F57">
            <v>484000</v>
          </cell>
          <cell r="G57">
            <v>0</v>
          </cell>
          <cell r="H57">
            <v>0</v>
          </cell>
          <cell r="I57">
            <v>20</v>
          </cell>
          <cell r="J57">
            <v>20</v>
          </cell>
          <cell r="K57">
            <v>484000</v>
          </cell>
          <cell r="L57">
            <v>484000</v>
          </cell>
          <cell r="M57">
            <v>0</v>
          </cell>
          <cell r="N57">
            <v>0</v>
          </cell>
          <cell r="O57">
            <v>5600</v>
          </cell>
          <cell r="P57">
            <v>5600</v>
          </cell>
        </row>
        <row r="58">
          <cell r="A58">
            <v>3</v>
          </cell>
          <cell r="B58" t="str">
            <v xml:space="preserve"> TAP 80% , STARTING TIME 60 Sec. (MOTOR PF=0.7 , EFF=0.9)</v>
          </cell>
          <cell r="C58">
            <v>2</v>
          </cell>
          <cell r="D58" t="str">
            <v>P_x000E_L</v>
          </cell>
          <cell r="E58">
            <v>1500000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</row>
        <row r="59">
          <cell r="A59">
            <v>2</v>
          </cell>
          <cell r="B59" t="str">
            <v xml:space="preserve">  6.9KV VCB 1250A 40KA</v>
          </cell>
          <cell r="C59">
            <v>3</v>
          </cell>
          <cell r="D59" t="str">
            <v>PNL</v>
          </cell>
          <cell r="E59">
            <v>800000</v>
          </cell>
          <cell r="F59">
            <v>2400000</v>
          </cell>
          <cell r="G59">
            <v>0</v>
          </cell>
          <cell r="H59">
            <v>0</v>
          </cell>
          <cell r="I59">
            <v>20</v>
          </cell>
          <cell r="J59">
            <v>60</v>
          </cell>
          <cell r="K59">
            <v>800000</v>
          </cell>
          <cell r="L59">
            <v>2400000</v>
          </cell>
          <cell r="M59">
            <v>0</v>
          </cell>
          <cell r="N59">
            <v>0</v>
          </cell>
          <cell r="O59">
            <v>5600</v>
          </cell>
          <cell r="P59">
            <v>16800</v>
          </cell>
          <cell r="Q59">
            <v>0</v>
          </cell>
        </row>
        <row r="60">
          <cell r="A60">
            <v>3</v>
          </cell>
          <cell r="B60" t="str">
            <v xml:space="preserve">  6.9KV 2000KVA , W/GCS , CAPACIATOR PANEL</v>
          </cell>
          <cell r="C60">
            <v>2</v>
          </cell>
          <cell r="D60" t="str">
            <v>PNL</v>
          </cell>
          <cell r="E60">
            <v>1500000</v>
          </cell>
          <cell r="F60">
            <v>3000000</v>
          </cell>
          <cell r="G60">
            <v>0</v>
          </cell>
          <cell r="H60">
            <v>0</v>
          </cell>
          <cell r="I60">
            <v>30</v>
          </cell>
          <cell r="J60">
            <v>60</v>
          </cell>
          <cell r="K60">
            <v>1500000</v>
          </cell>
          <cell r="L60">
            <v>3000000</v>
          </cell>
          <cell r="M60">
            <v>0</v>
          </cell>
          <cell r="N60">
            <v>0</v>
          </cell>
          <cell r="O60">
            <v>8400</v>
          </cell>
          <cell r="P60">
            <v>16800</v>
          </cell>
        </row>
        <row r="61">
          <cell r="A61">
            <v>4</v>
          </cell>
          <cell r="B61" t="str">
            <v xml:space="preserve">  600V POWER CABLE 3/C 5.5 sq.mm  XLPE/PVC</v>
          </cell>
          <cell r="C61">
            <v>200</v>
          </cell>
          <cell r="D61" t="str">
            <v>M</v>
          </cell>
          <cell r="E61">
            <v>20</v>
          </cell>
          <cell r="F61">
            <v>4000</v>
          </cell>
          <cell r="G61">
            <v>0</v>
          </cell>
          <cell r="H61">
            <v>0</v>
          </cell>
          <cell r="I61">
            <v>0.1</v>
          </cell>
          <cell r="J61">
            <v>20</v>
          </cell>
          <cell r="K61">
            <v>20</v>
          </cell>
          <cell r="L61">
            <v>4000</v>
          </cell>
          <cell r="M61">
            <v>0</v>
          </cell>
          <cell r="N61">
            <v>0</v>
          </cell>
          <cell r="O61">
            <v>28</v>
          </cell>
          <cell r="P61">
            <v>5600</v>
          </cell>
          <cell r="Q61">
            <v>0</v>
          </cell>
        </row>
        <row r="62">
          <cell r="A62">
            <v>5</v>
          </cell>
          <cell r="B62" t="str">
            <v xml:space="preserve">  600V POWER CABLE 3/C 22sq.mm  XLPE/PVC</v>
          </cell>
          <cell r="C62">
            <v>600</v>
          </cell>
          <cell r="D62" t="str">
            <v>M</v>
          </cell>
          <cell r="E62">
            <v>70</v>
          </cell>
          <cell r="F62">
            <v>42000</v>
          </cell>
          <cell r="G62">
            <v>0</v>
          </cell>
          <cell r="H62">
            <v>0</v>
          </cell>
          <cell r="I62">
            <v>0.18099999999999999</v>
          </cell>
          <cell r="J62">
            <v>109</v>
          </cell>
          <cell r="K62">
            <v>70</v>
          </cell>
          <cell r="L62">
            <v>42000</v>
          </cell>
          <cell r="M62">
            <v>0</v>
          </cell>
          <cell r="N62">
            <v>0</v>
          </cell>
          <cell r="O62">
            <v>51</v>
          </cell>
          <cell r="P62">
            <v>30600</v>
          </cell>
          <cell r="Q62">
            <v>0</v>
          </cell>
        </row>
        <row r="63">
          <cell r="A63">
            <v>6</v>
          </cell>
          <cell r="B63" t="str">
            <v xml:space="preserve">  600V CONTROL CABLE 7/C 2.1 sq.mm  PVC/PVC</v>
          </cell>
          <cell r="C63">
            <v>600</v>
          </cell>
          <cell r="D63" t="str">
            <v>M</v>
          </cell>
          <cell r="E63">
            <v>24</v>
          </cell>
          <cell r="F63">
            <v>14400</v>
          </cell>
          <cell r="G63">
            <v>0</v>
          </cell>
          <cell r="H63">
            <v>0</v>
          </cell>
          <cell r="I63">
            <v>0.105</v>
          </cell>
          <cell r="J63">
            <v>63</v>
          </cell>
          <cell r="K63">
            <v>24</v>
          </cell>
          <cell r="L63">
            <v>14400</v>
          </cell>
          <cell r="M63">
            <v>0</v>
          </cell>
          <cell r="N63">
            <v>0</v>
          </cell>
          <cell r="O63">
            <v>29</v>
          </cell>
          <cell r="P63">
            <v>17400</v>
          </cell>
          <cell r="Q63">
            <v>0</v>
          </cell>
        </row>
        <row r="64">
          <cell r="A64">
            <v>7</v>
          </cell>
          <cell r="B64" t="str">
            <v xml:space="preserve">  600V CONTROL CABLE 12/C 2.0 sq.mm  PVC/PVC</v>
          </cell>
          <cell r="C64">
            <v>200</v>
          </cell>
          <cell r="D64" t="str">
            <v>M</v>
          </cell>
          <cell r="E64">
            <v>38</v>
          </cell>
          <cell r="F64">
            <v>7600</v>
          </cell>
          <cell r="G64">
            <v>0</v>
          </cell>
          <cell r="H64">
            <v>0</v>
          </cell>
          <cell r="I64">
            <v>0.13800000000000001</v>
          </cell>
          <cell r="J64">
            <v>28</v>
          </cell>
          <cell r="K64">
            <v>38</v>
          </cell>
          <cell r="L64">
            <v>7600</v>
          </cell>
          <cell r="M64">
            <v>0</v>
          </cell>
          <cell r="N64">
            <v>0</v>
          </cell>
          <cell r="O64">
            <v>39</v>
          </cell>
          <cell r="P64">
            <v>7800</v>
          </cell>
          <cell r="Q64">
            <v>0</v>
          </cell>
        </row>
        <row r="65">
          <cell r="A65">
            <v>8</v>
          </cell>
          <cell r="B65" t="str">
            <v xml:space="preserve">  8KV POWER CABLE 1/C 325 sq.mm XLPE/PVC</v>
          </cell>
          <cell r="C65">
            <v>2500</v>
          </cell>
          <cell r="D65" t="str">
            <v>M</v>
          </cell>
          <cell r="E65">
            <v>375</v>
          </cell>
          <cell r="F65">
            <v>937500</v>
          </cell>
          <cell r="G65">
            <v>0</v>
          </cell>
          <cell r="H65">
            <v>0</v>
          </cell>
          <cell r="I65">
            <v>0.30199999999999999</v>
          </cell>
          <cell r="J65">
            <v>755</v>
          </cell>
          <cell r="K65">
            <v>375</v>
          </cell>
          <cell r="L65">
            <v>937500</v>
          </cell>
          <cell r="M65">
            <v>0</v>
          </cell>
          <cell r="N65">
            <v>0</v>
          </cell>
          <cell r="O65">
            <v>85</v>
          </cell>
          <cell r="P65">
            <v>212500</v>
          </cell>
        </row>
        <row r="66">
          <cell r="A66">
            <v>9</v>
          </cell>
          <cell r="B66" t="str">
            <v xml:space="preserve">  8KV TERMINATION KIT , 1/C 325 sq.mm </v>
          </cell>
          <cell r="C66">
            <v>24</v>
          </cell>
          <cell r="D66" t="str">
            <v>SET</v>
          </cell>
          <cell r="E66">
            <v>2542</v>
          </cell>
          <cell r="F66">
            <v>61008</v>
          </cell>
          <cell r="G66">
            <v>0</v>
          </cell>
          <cell r="H66">
            <v>0</v>
          </cell>
          <cell r="I66">
            <v>5</v>
          </cell>
          <cell r="J66">
            <v>120</v>
          </cell>
          <cell r="K66">
            <v>2542</v>
          </cell>
          <cell r="L66">
            <v>61008</v>
          </cell>
          <cell r="M66">
            <v>0</v>
          </cell>
          <cell r="N66">
            <v>0</v>
          </cell>
          <cell r="O66">
            <v>1400</v>
          </cell>
          <cell r="P66">
            <v>33600</v>
          </cell>
        </row>
        <row r="67">
          <cell r="A67">
            <v>10</v>
          </cell>
          <cell r="B67" t="str">
            <v xml:space="preserve"> PVC CONDUIT, THICK WALL, CNS1302 SCH. B , 2"</v>
          </cell>
          <cell r="C67">
            <v>800</v>
          </cell>
          <cell r="D67" t="str">
            <v>M</v>
          </cell>
          <cell r="E67">
            <v>38</v>
          </cell>
          <cell r="F67">
            <v>30400</v>
          </cell>
          <cell r="G67">
            <v>0</v>
          </cell>
          <cell r="H67">
            <v>0</v>
          </cell>
          <cell r="I67">
            <v>0.3</v>
          </cell>
          <cell r="J67">
            <v>240</v>
          </cell>
          <cell r="K67">
            <v>38</v>
          </cell>
          <cell r="L67">
            <v>30400</v>
          </cell>
          <cell r="M67">
            <v>0</v>
          </cell>
          <cell r="N67">
            <v>0</v>
          </cell>
          <cell r="O67">
            <v>84</v>
          </cell>
          <cell r="P67">
            <v>67200</v>
          </cell>
          <cell r="Q67">
            <v>0</v>
          </cell>
        </row>
        <row r="68">
          <cell r="A68">
            <v>11</v>
          </cell>
          <cell r="B68" t="str">
            <v xml:space="preserve"> PVC CONDUIT, THICK WALL, CNS1302 SCH. B , 6"</v>
          </cell>
          <cell r="C68">
            <v>800</v>
          </cell>
          <cell r="D68" t="str">
            <v>M</v>
          </cell>
          <cell r="E68">
            <v>242</v>
          </cell>
          <cell r="F68">
            <v>193600</v>
          </cell>
          <cell r="G68">
            <v>0</v>
          </cell>
          <cell r="H68">
            <v>0</v>
          </cell>
          <cell r="I68">
            <v>0.68</v>
          </cell>
          <cell r="J68">
            <v>544</v>
          </cell>
          <cell r="K68">
            <v>242</v>
          </cell>
          <cell r="L68">
            <v>193600</v>
          </cell>
          <cell r="M68">
            <v>0</v>
          </cell>
          <cell r="N68">
            <v>0</v>
          </cell>
          <cell r="O68">
            <v>190</v>
          </cell>
          <cell r="P68">
            <v>152000</v>
          </cell>
          <cell r="Q68">
            <v>0</v>
          </cell>
        </row>
        <row r="69">
          <cell r="A69">
            <v>12</v>
          </cell>
          <cell r="B69" t="str">
            <v xml:space="preserve"> EXCAVATION</v>
          </cell>
          <cell r="C69">
            <v>350</v>
          </cell>
          <cell r="D69" t="str">
            <v>M3</v>
          </cell>
          <cell r="E69" t="str">
            <v>M+L</v>
          </cell>
          <cell r="F69" t="str">
            <v>M+L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 t="str">
            <v>M+L</v>
          </cell>
          <cell r="L69" t="str">
            <v>M+L</v>
          </cell>
          <cell r="M69">
            <v>0</v>
          </cell>
          <cell r="N69">
            <v>0</v>
          </cell>
          <cell r="O69">
            <v>60</v>
          </cell>
          <cell r="P69">
            <v>21000</v>
          </cell>
          <cell r="Q69">
            <v>0</v>
          </cell>
        </row>
        <row r="70">
          <cell r="A70">
            <v>13</v>
          </cell>
          <cell r="B70" t="str">
            <v xml:space="preserve"> BACKFILL</v>
          </cell>
          <cell r="C70">
            <v>250</v>
          </cell>
          <cell r="D70" t="str">
            <v>M3</v>
          </cell>
          <cell r="E70" t="str">
            <v>M+L</v>
          </cell>
          <cell r="F70" t="str">
            <v>M+L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>
            <v>M+L</v>
          </cell>
          <cell r="L70" t="str">
            <v>M+L</v>
          </cell>
          <cell r="M70">
            <v>0</v>
          </cell>
          <cell r="N70">
            <v>0</v>
          </cell>
          <cell r="O70">
            <v>100</v>
          </cell>
          <cell r="P70">
            <v>25000</v>
          </cell>
          <cell r="Q70">
            <v>0</v>
          </cell>
        </row>
        <row r="71">
          <cell r="A71">
            <v>14</v>
          </cell>
          <cell r="B71" t="str">
            <v xml:space="preserve"> CONCRETE FOR DUCT BANK 2000 PSI</v>
          </cell>
          <cell r="C71">
            <v>100</v>
          </cell>
          <cell r="D71" t="str">
            <v>M3</v>
          </cell>
          <cell r="E71" t="str">
            <v>M+L</v>
          </cell>
          <cell r="F71" t="str">
            <v>M+L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>
            <v>M+L</v>
          </cell>
          <cell r="L71" t="str">
            <v>M+L</v>
          </cell>
          <cell r="M71">
            <v>0</v>
          </cell>
          <cell r="N71">
            <v>0</v>
          </cell>
          <cell r="O71">
            <v>1700</v>
          </cell>
          <cell r="P71">
            <v>170000</v>
          </cell>
          <cell r="Q71">
            <v>0</v>
          </cell>
        </row>
        <row r="72">
          <cell r="A72">
            <v>15</v>
          </cell>
          <cell r="B72" t="str">
            <v xml:space="preserve"> RED COLORED OXIDE</v>
          </cell>
          <cell r="C72">
            <v>900</v>
          </cell>
          <cell r="D72" t="str">
            <v>KG</v>
          </cell>
          <cell r="E72" t="str">
            <v>M+L</v>
          </cell>
          <cell r="F72" t="str">
            <v>M+L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 t="str">
            <v>M+L</v>
          </cell>
          <cell r="L72" t="str">
            <v>M+L</v>
          </cell>
          <cell r="M72">
            <v>0</v>
          </cell>
          <cell r="N72">
            <v>0</v>
          </cell>
          <cell r="O72">
            <v>60</v>
          </cell>
          <cell r="P72">
            <v>54000</v>
          </cell>
          <cell r="Q72">
            <v>0</v>
          </cell>
        </row>
        <row r="73">
          <cell r="A73">
            <v>16</v>
          </cell>
          <cell r="B73" t="str">
            <v xml:space="preserve"> DISPOSAL</v>
          </cell>
          <cell r="C73">
            <v>100</v>
          </cell>
          <cell r="D73" t="str">
            <v>M3</v>
          </cell>
          <cell r="E73" t="str">
            <v>M+L</v>
          </cell>
          <cell r="F73" t="str">
            <v>M+L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 t="str">
            <v>M+L</v>
          </cell>
          <cell r="L73" t="str">
            <v>M+L</v>
          </cell>
          <cell r="M73">
            <v>0</v>
          </cell>
          <cell r="N73">
            <v>0</v>
          </cell>
          <cell r="O73">
            <v>220</v>
          </cell>
          <cell r="P73">
            <v>22000</v>
          </cell>
          <cell r="Q73">
            <v>0</v>
          </cell>
        </row>
        <row r="74">
          <cell r="A74">
            <v>17</v>
          </cell>
          <cell r="B74" t="str">
            <v xml:space="preserve"> FORMWORK</v>
          </cell>
          <cell r="C74">
            <v>300</v>
          </cell>
          <cell r="D74" t="str">
            <v>M2</v>
          </cell>
          <cell r="E74" t="str">
            <v>M+L</v>
          </cell>
          <cell r="F74" t="str">
            <v>M+L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 t="str">
            <v>M+L</v>
          </cell>
          <cell r="L74" t="str">
            <v>M+L</v>
          </cell>
          <cell r="M74">
            <v>0</v>
          </cell>
          <cell r="N74">
            <v>0</v>
          </cell>
          <cell r="O74">
            <v>360</v>
          </cell>
          <cell r="P74">
            <v>108000</v>
          </cell>
          <cell r="Q74">
            <v>0</v>
          </cell>
        </row>
        <row r="75">
          <cell r="A75">
            <v>18</v>
          </cell>
          <cell r="B75" t="str">
            <v xml:space="preserve"> RE-BAR</v>
          </cell>
          <cell r="C75">
            <v>1900</v>
          </cell>
          <cell r="D75" t="str">
            <v>KG</v>
          </cell>
          <cell r="E75" t="str">
            <v>M+L</v>
          </cell>
          <cell r="F75" t="str">
            <v>M+L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 t="str">
            <v>M+L</v>
          </cell>
          <cell r="L75" t="str">
            <v>M+L</v>
          </cell>
          <cell r="M75">
            <v>0</v>
          </cell>
          <cell r="N75">
            <v>0</v>
          </cell>
          <cell r="O75">
            <v>16</v>
          </cell>
          <cell r="P75">
            <v>30400</v>
          </cell>
          <cell r="Q75">
            <v>0</v>
          </cell>
        </row>
        <row r="76">
          <cell r="A76">
            <v>19</v>
          </cell>
          <cell r="B76" t="str">
            <v xml:space="preserve"> COMPOND FOR WATER SEALING(IN MH.)</v>
          </cell>
          <cell r="C76">
            <v>125</v>
          </cell>
          <cell r="D76" t="str">
            <v>KG</v>
          </cell>
          <cell r="E76" t="str">
            <v>M+L</v>
          </cell>
          <cell r="F76" t="str">
            <v>M+L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 t="str">
            <v>M+L</v>
          </cell>
          <cell r="L76" t="str">
            <v>M+L</v>
          </cell>
          <cell r="M76">
            <v>0</v>
          </cell>
          <cell r="N76">
            <v>0</v>
          </cell>
          <cell r="O76">
            <v>200</v>
          </cell>
          <cell r="P76">
            <v>25000</v>
          </cell>
          <cell r="Q76">
            <v>0</v>
          </cell>
        </row>
        <row r="77">
          <cell r="A77">
            <v>20</v>
          </cell>
          <cell r="B77" t="str">
            <v xml:space="preserve"> MISCELLANEOUS </v>
          </cell>
          <cell r="C77">
            <v>1</v>
          </cell>
          <cell r="D77" t="str">
            <v>LOT</v>
          </cell>
          <cell r="E77">
            <v>31995.239999999998</v>
          </cell>
          <cell r="F77">
            <v>31995</v>
          </cell>
          <cell r="G77">
            <v>0</v>
          </cell>
          <cell r="H77">
            <v>0</v>
          </cell>
          <cell r="I77">
            <v>32.85</v>
          </cell>
          <cell r="J77">
            <v>33</v>
          </cell>
          <cell r="K77">
            <v>31995</v>
          </cell>
          <cell r="L77">
            <v>31995</v>
          </cell>
          <cell r="M77">
            <v>0</v>
          </cell>
          <cell r="N77">
            <v>0</v>
          </cell>
          <cell r="O77">
            <v>9198</v>
          </cell>
          <cell r="P77">
            <v>9198</v>
          </cell>
        </row>
        <row r="78">
          <cell r="B78" t="str">
            <v>SUB-TOTAL : (ALT-2)</v>
          </cell>
          <cell r="C78">
            <v>0</v>
          </cell>
          <cell r="D78">
            <v>0</v>
          </cell>
          <cell r="E78">
            <v>0</v>
          </cell>
          <cell r="F78">
            <v>7206503</v>
          </cell>
          <cell r="G78">
            <v>0</v>
          </cell>
          <cell r="H78">
            <v>0</v>
          </cell>
          <cell r="I78">
            <v>0</v>
          </cell>
          <cell r="J78">
            <v>2052</v>
          </cell>
          <cell r="K78">
            <v>0</v>
          </cell>
          <cell r="L78">
            <v>7206503</v>
          </cell>
          <cell r="M78">
            <v>0</v>
          </cell>
          <cell r="N78">
            <v>0</v>
          </cell>
          <cell r="O78">
            <v>0</v>
          </cell>
          <cell r="P78">
            <v>1030498</v>
          </cell>
          <cell r="Q78">
            <v>2052</v>
          </cell>
        </row>
        <row r="82">
          <cell r="A82" t="str">
            <v xml:space="preserve">  A.</v>
          </cell>
          <cell r="B82" t="str">
            <v xml:space="preserve"> POWER EQUIPMENT </v>
          </cell>
          <cell r="C82" t="str">
            <v xml:space="preserve"> </v>
          </cell>
          <cell r="D82" t="str">
            <v xml:space="preserve"> 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*</v>
          </cell>
          <cell r="B84" t="str">
            <v>DWG. NO. XK11A-0000-01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1.85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A.1</v>
          </cell>
          <cell r="B85" t="str">
            <v>161KV SWITCHGEAR AREA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A.1.1</v>
          </cell>
          <cell r="B86" t="str">
            <v xml:space="preserve">  161KV SF6 GIS ,1250A 50KA , 2 BAYS ,W/ GCB, DS, ES, MOF, LA, CT…..</v>
          </cell>
          <cell r="C86">
            <v>1</v>
          </cell>
          <cell r="D86" t="str">
            <v>SET</v>
          </cell>
          <cell r="E86">
            <v>50540000</v>
          </cell>
          <cell r="F86">
            <v>50540000</v>
          </cell>
          <cell r="G86">
            <v>0</v>
          </cell>
          <cell r="H86">
            <v>0</v>
          </cell>
          <cell r="I86">
            <v>4038</v>
          </cell>
          <cell r="J86">
            <v>4038</v>
          </cell>
          <cell r="K86">
            <v>50540000</v>
          </cell>
          <cell r="L86">
            <v>50540000</v>
          </cell>
          <cell r="M86">
            <v>0</v>
          </cell>
          <cell r="N86">
            <v>0</v>
          </cell>
          <cell r="O86">
            <v>1620000</v>
          </cell>
          <cell r="P86">
            <v>1620000</v>
          </cell>
        </row>
        <row r="87">
          <cell r="A87" t="str">
            <v>A.1.2</v>
          </cell>
          <cell r="B87" t="str">
            <v xml:space="preserve">  RELAY &amp; CONTROL PANEL, FOR GIS PANEL ,W/CONTROL CABLE &amp; PILOTWIRE RL</v>
          </cell>
          <cell r="C87">
            <v>1</v>
          </cell>
          <cell r="D87" t="str">
            <v>LOT</v>
          </cell>
          <cell r="E87">
            <v>3412700</v>
          </cell>
          <cell r="F87">
            <v>3412700</v>
          </cell>
          <cell r="G87">
            <v>0</v>
          </cell>
          <cell r="H87">
            <v>0</v>
          </cell>
          <cell r="I87">
            <v>500</v>
          </cell>
          <cell r="J87">
            <v>500</v>
          </cell>
          <cell r="K87">
            <v>3412700</v>
          </cell>
          <cell r="L87">
            <v>3412700</v>
          </cell>
          <cell r="M87">
            <v>0</v>
          </cell>
          <cell r="N87">
            <v>0</v>
          </cell>
          <cell r="O87">
            <v>200000</v>
          </cell>
          <cell r="P87">
            <v>200000</v>
          </cell>
        </row>
        <row r="88">
          <cell r="A88" t="str">
            <v>A.1.3</v>
          </cell>
          <cell r="B88" t="str">
            <v xml:space="preserve">  161KV POWER CABLE  , 1/C 250 SQ.MM</v>
          </cell>
          <cell r="C88">
            <v>330</v>
          </cell>
          <cell r="D88" t="str">
            <v>M</v>
          </cell>
          <cell r="E88">
            <v>1680</v>
          </cell>
          <cell r="F88">
            <v>554400</v>
          </cell>
          <cell r="G88">
            <v>0</v>
          </cell>
          <cell r="H88">
            <v>0</v>
          </cell>
          <cell r="I88">
            <v>1.1519999999999999</v>
          </cell>
          <cell r="J88">
            <v>380</v>
          </cell>
          <cell r="K88">
            <v>1680</v>
          </cell>
          <cell r="L88">
            <v>554400</v>
          </cell>
          <cell r="M88">
            <v>0</v>
          </cell>
          <cell r="N88">
            <v>0</v>
          </cell>
          <cell r="O88">
            <v>323</v>
          </cell>
          <cell r="P88">
            <v>106590</v>
          </cell>
        </row>
        <row r="89">
          <cell r="A89" t="str">
            <v>A.1.4</v>
          </cell>
          <cell r="B89" t="str">
            <v xml:space="preserve">  161KV TERMINATION KIT, HEAT SHRINKABLE TYPE , 1/C 250 SQ.MM</v>
          </cell>
          <cell r="C89">
            <v>12</v>
          </cell>
          <cell r="D89" t="str">
            <v>SET</v>
          </cell>
          <cell r="E89">
            <v>210000</v>
          </cell>
          <cell r="F89">
            <v>2520000</v>
          </cell>
          <cell r="G89">
            <v>0</v>
          </cell>
          <cell r="H89">
            <v>0</v>
          </cell>
          <cell r="I89">
            <v>133</v>
          </cell>
          <cell r="J89">
            <v>1596</v>
          </cell>
          <cell r="K89">
            <v>210000</v>
          </cell>
          <cell r="L89">
            <v>2520000</v>
          </cell>
          <cell r="M89">
            <v>0</v>
          </cell>
          <cell r="N89">
            <v>0</v>
          </cell>
          <cell r="O89">
            <v>53200</v>
          </cell>
          <cell r="P89">
            <v>638400</v>
          </cell>
        </row>
        <row r="90">
          <cell r="A90" t="str">
            <v>A.1.5</v>
          </cell>
          <cell r="B90" t="str">
            <v xml:space="preserve">  MAIN POWER TRANSFORMER W/NGR &amp; LA*3, OIL-IMMERSED , 161KV/6.9KV 30/40MVA</v>
          </cell>
          <cell r="C90">
            <v>2</v>
          </cell>
          <cell r="D90" t="str">
            <v>SET</v>
          </cell>
          <cell r="E90">
            <v>10460000</v>
          </cell>
          <cell r="F90">
            <v>20920000</v>
          </cell>
          <cell r="G90">
            <v>0</v>
          </cell>
          <cell r="H90">
            <v>0</v>
          </cell>
          <cell r="I90">
            <v>595</v>
          </cell>
          <cell r="J90">
            <v>1190</v>
          </cell>
          <cell r="K90">
            <v>10460000</v>
          </cell>
          <cell r="L90">
            <v>20920000</v>
          </cell>
          <cell r="M90">
            <v>0</v>
          </cell>
          <cell r="N90">
            <v>0</v>
          </cell>
          <cell r="O90">
            <v>238000</v>
          </cell>
          <cell r="P90">
            <v>476000</v>
          </cell>
        </row>
        <row r="91">
          <cell r="A91" t="str">
            <v>A.1.6</v>
          </cell>
          <cell r="B91" t="str">
            <v xml:space="preserve">  6.9KV BUS DUCT , 4000A INDOOR/OUTDOOR , 8M LG , 40KA</v>
          </cell>
          <cell r="C91">
            <v>2</v>
          </cell>
          <cell r="D91" t="str">
            <v>SET</v>
          </cell>
          <cell r="E91">
            <v>840000</v>
          </cell>
          <cell r="F91">
            <v>1680000</v>
          </cell>
          <cell r="G91">
            <v>0</v>
          </cell>
          <cell r="H91">
            <v>0</v>
          </cell>
          <cell r="I91">
            <v>80</v>
          </cell>
          <cell r="J91">
            <v>160</v>
          </cell>
          <cell r="K91">
            <v>840000</v>
          </cell>
          <cell r="L91">
            <v>1680000</v>
          </cell>
          <cell r="M91">
            <v>0</v>
          </cell>
          <cell r="N91">
            <v>0</v>
          </cell>
          <cell r="O91">
            <v>22400</v>
          </cell>
          <cell r="P91">
            <v>44800</v>
          </cell>
        </row>
        <row r="92">
          <cell r="A92" t="str">
            <v>A.2.1</v>
          </cell>
          <cell r="B92" t="str">
            <v>SUB-TOTAL (A.1)</v>
          </cell>
          <cell r="C92">
            <v>3</v>
          </cell>
          <cell r="D92" t="str">
            <v>PNL</v>
          </cell>
          <cell r="E92">
            <v>1300000</v>
          </cell>
          <cell r="F92">
            <v>79627100</v>
          </cell>
          <cell r="G92">
            <v>0</v>
          </cell>
          <cell r="H92">
            <v>0</v>
          </cell>
          <cell r="I92">
            <v>0</v>
          </cell>
          <cell r="J92">
            <v>7864</v>
          </cell>
          <cell r="K92">
            <v>0</v>
          </cell>
          <cell r="L92">
            <v>79627100</v>
          </cell>
          <cell r="M92">
            <v>0</v>
          </cell>
          <cell r="N92">
            <v>0</v>
          </cell>
          <cell r="O92">
            <v>0</v>
          </cell>
          <cell r="P92">
            <v>3085790</v>
          </cell>
          <cell r="Q92">
            <v>0</v>
          </cell>
        </row>
        <row r="93">
          <cell r="A93" t="str">
            <v xml:space="preserve">  J.</v>
          </cell>
          <cell r="B93" t="str">
            <v>U/G CONDUIT BANK</v>
          </cell>
          <cell r="C93">
            <v>2850</v>
          </cell>
          <cell r="D93" t="str">
            <v>M3</v>
          </cell>
          <cell r="E93">
            <v>2070.4561403508774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*</v>
          </cell>
          <cell r="B94" t="str">
            <v>DWG. NO. XK11A-0000-02, 03 , 04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 xml:space="preserve">   A.2</v>
          </cell>
          <cell r="B95" t="str">
            <v>MAIN SUBSTATION (????)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A.2.1</v>
          </cell>
          <cell r="B96" t="str">
            <v xml:space="preserve">  6.9KV VCB 4000A 40KA , SWITCHGEAR INCOMING &amp; TIE PANEL </v>
          </cell>
          <cell r="C96">
            <v>3</v>
          </cell>
          <cell r="D96" t="str">
            <v>PNL</v>
          </cell>
          <cell r="E96">
            <v>1300000</v>
          </cell>
          <cell r="F96">
            <v>3900000</v>
          </cell>
          <cell r="G96">
            <v>0</v>
          </cell>
          <cell r="H96">
            <v>0</v>
          </cell>
          <cell r="I96">
            <v>30</v>
          </cell>
          <cell r="J96">
            <v>90</v>
          </cell>
          <cell r="K96">
            <v>1300000</v>
          </cell>
          <cell r="L96">
            <v>3900000</v>
          </cell>
          <cell r="M96">
            <v>0</v>
          </cell>
          <cell r="N96">
            <v>0</v>
          </cell>
          <cell r="O96">
            <v>8400</v>
          </cell>
          <cell r="P96">
            <v>25200</v>
          </cell>
        </row>
        <row r="97">
          <cell r="A97" t="str">
            <v>A.2.2</v>
          </cell>
          <cell r="B97" t="str">
            <v xml:space="preserve">  6.9KV VCB 1250A 40KA , SWITCHGEAR FEEDER PANEL </v>
          </cell>
          <cell r="C97">
            <v>6</v>
          </cell>
          <cell r="D97" t="str">
            <v>PNL</v>
          </cell>
          <cell r="E97">
            <v>750000</v>
          </cell>
          <cell r="F97">
            <v>4500000</v>
          </cell>
          <cell r="G97">
            <v>0</v>
          </cell>
          <cell r="H97">
            <v>0</v>
          </cell>
          <cell r="I97">
            <v>20</v>
          </cell>
          <cell r="J97">
            <v>120</v>
          </cell>
          <cell r="K97">
            <v>750000</v>
          </cell>
          <cell r="L97">
            <v>4500000</v>
          </cell>
          <cell r="M97">
            <v>0</v>
          </cell>
          <cell r="N97">
            <v>0</v>
          </cell>
          <cell r="O97">
            <v>5600</v>
          </cell>
          <cell r="P97">
            <v>33600</v>
          </cell>
        </row>
        <row r="98">
          <cell r="A98" t="str">
            <v>A.2.3</v>
          </cell>
          <cell r="B98" t="str">
            <v xml:space="preserve">  6.9KV 500KVA , W/GCS , CAPACIATOR PANEL</v>
          </cell>
          <cell r="C98">
            <v>2</v>
          </cell>
          <cell r="D98" t="str">
            <v>PNL</v>
          </cell>
          <cell r="E98">
            <v>600000</v>
          </cell>
          <cell r="F98">
            <v>1200000</v>
          </cell>
          <cell r="G98">
            <v>0</v>
          </cell>
          <cell r="H98">
            <v>0</v>
          </cell>
          <cell r="I98">
            <v>20</v>
          </cell>
          <cell r="J98">
            <v>40</v>
          </cell>
          <cell r="K98">
            <v>600000</v>
          </cell>
          <cell r="L98">
            <v>1200000</v>
          </cell>
          <cell r="M98">
            <v>0</v>
          </cell>
          <cell r="N98">
            <v>0</v>
          </cell>
          <cell r="O98">
            <v>5600</v>
          </cell>
          <cell r="P98">
            <v>11200</v>
          </cell>
        </row>
        <row r="99">
          <cell r="A99" t="str">
            <v>A.2.4</v>
          </cell>
          <cell r="B99" t="str">
            <v xml:space="preserve">  CAST RESIN DRY TYPE TR. , IP20 ENCLOSURE , 3 PHASE 6.9KV/480V ,1000KVA </v>
          </cell>
          <cell r="C99">
            <v>2</v>
          </cell>
          <cell r="D99" t="str">
            <v>SET</v>
          </cell>
          <cell r="E99">
            <v>410000</v>
          </cell>
          <cell r="F99">
            <v>820000</v>
          </cell>
          <cell r="G99">
            <v>0</v>
          </cell>
          <cell r="H99">
            <v>0</v>
          </cell>
          <cell r="I99">
            <v>108</v>
          </cell>
          <cell r="J99">
            <v>216</v>
          </cell>
          <cell r="K99">
            <v>410000</v>
          </cell>
          <cell r="L99">
            <v>820000</v>
          </cell>
          <cell r="M99">
            <v>0</v>
          </cell>
          <cell r="N99">
            <v>0</v>
          </cell>
          <cell r="O99">
            <v>30240</v>
          </cell>
          <cell r="P99">
            <v>60480</v>
          </cell>
        </row>
        <row r="100">
          <cell r="A100" t="str">
            <v>A.2.5</v>
          </cell>
          <cell r="B100" t="str">
            <v xml:space="preserve">  480V BUS DUCT, 3PH 3W, 1600A INDOOR, 30KA , 6M LG</v>
          </cell>
          <cell r="C100">
            <v>2</v>
          </cell>
          <cell r="D100" t="str">
            <v>SET</v>
          </cell>
          <cell r="E100">
            <v>210000</v>
          </cell>
          <cell r="F100">
            <v>420000</v>
          </cell>
          <cell r="G100">
            <v>0</v>
          </cell>
          <cell r="H100">
            <v>0</v>
          </cell>
          <cell r="I100">
            <v>36</v>
          </cell>
          <cell r="J100">
            <v>72</v>
          </cell>
          <cell r="K100">
            <v>210000</v>
          </cell>
          <cell r="L100">
            <v>420000</v>
          </cell>
          <cell r="M100">
            <v>0</v>
          </cell>
          <cell r="N100">
            <v>0</v>
          </cell>
          <cell r="O100">
            <v>10080</v>
          </cell>
          <cell r="P100">
            <v>20160</v>
          </cell>
        </row>
        <row r="101">
          <cell r="A101" t="str">
            <v>A.2.6</v>
          </cell>
          <cell r="B101" t="str">
            <v xml:space="preserve">  480V SWGR , 30KA, INCOMING ACB1600Ax2PNL &amp; TIE ACB1600A </v>
          </cell>
          <cell r="C101">
            <v>1</v>
          </cell>
          <cell r="D101" t="str">
            <v>LOT</v>
          </cell>
          <cell r="E101">
            <v>1100000</v>
          </cell>
          <cell r="F101">
            <v>1100000</v>
          </cell>
          <cell r="G101">
            <v>0</v>
          </cell>
          <cell r="H101">
            <v>0</v>
          </cell>
          <cell r="I101">
            <v>60</v>
          </cell>
          <cell r="J101">
            <v>60</v>
          </cell>
          <cell r="K101">
            <v>1100000</v>
          </cell>
          <cell r="L101">
            <v>1100000</v>
          </cell>
          <cell r="M101">
            <v>0</v>
          </cell>
          <cell r="N101">
            <v>0</v>
          </cell>
          <cell r="O101">
            <v>16800</v>
          </cell>
          <cell r="P101">
            <v>16800</v>
          </cell>
        </row>
        <row r="102">
          <cell r="A102" t="str">
            <v>A.2.7</v>
          </cell>
          <cell r="B102" t="str">
            <v xml:space="preserve">  480V MCC SINGLE FACE , 30KA</v>
          </cell>
          <cell r="C102">
            <v>7</v>
          </cell>
          <cell r="D102" t="str">
            <v>PNL</v>
          </cell>
          <cell r="E102">
            <v>120000</v>
          </cell>
          <cell r="F102">
            <v>840000</v>
          </cell>
          <cell r="G102">
            <v>0</v>
          </cell>
          <cell r="H102">
            <v>0</v>
          </cell>
          <cell r="I102">
            <v>15</v>
          </cell>
          <cell r="J102">
            <v>105</v>
          </cell>
          <cell r="K102">
            <v>120000</v>
          </cell>
          <cell r="L102">
            <v>840000</v>
          </cell>
          <cell r="M102">
            <v>0</v>
          </cell>
          <cell r="N102">
            <v>0</v>
          </cell>
          <cell r="O102">
            <v>4200</v>
          </cell>
          <cell r="P102">
            <v>29400</v>
          </cell>
        </row>
        <row r="103">
          <cell r="B103" t="str">
            <v>SUB-TOTAL (A.2)</v>
          </cell>
          <cell r="C103">
            <v>0</v>
          </cell>
          <cell r="D103">
            <v>0</v>
          </cell>
          <cell r="E103">
            <v>0</v>
          </cell>
          <cell r="F103">
            <v>12780000</v>
          </cell>
          <cell r="G103">
            <v>0</v>
          </cell>
          <cell r="H103">
            <v>0</v>
          </cell>
          <cell r="I103">
            <v>0</v>
          </cell>
          <cell r="J103">
            <v>703</v>
          </cell>
          <cell r="K103">
            <v>0</v>
          </cell>
          <cell r="L103">
            <v>12780000</v>
          </cell>
          <cell r="M103">
            <v>0</v>
          </cell>
          <cell r="N103">
            <v>0</v>
          </cell>
          <cell r="O103">
            <v>0</v>
          </cell>
          <cell r="P103">
            <v>196840</v>
          </cell>
        </row>
        <row r="104">
          <cell r="A104" t="str">
            <v>A.4.1</v>
          </cell>
          <cell r="B104" t="str">
            <v xml:space="preserve">  6.9KV VCB 1250A 40KA , SWITCHGEAR INCOMING &amp; TIe PANEL &amp; FEEDER PANEL</v>
          </cell>
          <cell r="C104">
            <v>5</v>
          </cell>
          <cell r="D104" t="str">
            <v>PNL</v>
          </cell>
          <cell r="E104">
            <v>800000</v>
          </cell>
          <cell r="F104">
            <v>4000000</v>
          </cell>
        </row>
        <row r="105">
          <cell r="A105" t="str">
            <v>*</v>
          </cell>
          <cell r="B105" t="str">
            <v>DWG. NO. XK11A-0000-05,06,07,08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 xml:space="preserve">   A.3</v>
          </cell>
          <cell r="B106" t="str">
            <v>NO.1 SUBSTATION (??)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A.3.1</v>
          </cell>
          <cell r="B107" t="str">
            <v xml:space="preserve">  6.9KV VCB 1250A 40KA , SWITCHGEAR INCOMING &amp; TIE PANEL &amp; FEEDER PANEL</v>
          </cell>
          <cell r="C107">
            <v>5</v>
          </cell>
          <cell r="D107" t="str">
            <v>PNL</v>
          </cell>
          <cell r="E107">
            <v>800000</v>
          </cell>
          <cell r="F107">
            <v>4000000</v>
          </cell>
          <cell r="G107">
            <v>0</v>
          </cell>
          <cell r="H107">
            <v>0</v>
          </cell>
          <cell r="I107">
            <v>20</v>
          </cell>
          <cell r="J107">
            <v>100</v>
          </cell>
          <cell r="K107">
            <v>800000</v>
          </cell>
          <cell r="L107">
            <v>4000000</v>
          </cell>
          <cell r="M107">
            <v>0</v>
          </cell>
          <cell r="N107">
            <v>0</v>
          </cell>
          <cell r="O107">
            <v>5600</v>
          </cell>
          <cell r="P107">
            <v>28000</v>
          </cell>
        </row>
        <row r="108">
          <cell r="A108" t="str">
            <v>A.3.2</v>
          </cell>
          <cell r="B108" t="str">
            <v xml:space="preserve">  6.9KV GCS ,  NEMA CLASS E2 , MCC PANEL</v>
          </cell>
          <cell r="C108">
            <v>10</v>
          </cell>
          <cell r="D108" t="str">
            <v>PNL</v>
          </cell>
          <cell r="E108">
            <v>500000</v>
          </cell>
          <cell r="F108">
            <v>5000000</v>
          </cell>
          <cell r="G108">
            <v>0</v>
          </cell>
          <cell r="H108">
            <v>0</v>
          </cell>
          <cell r="I108">
            <v>20</v>
          </cell>
          <cell r="J108">
            <v>200</v>
          </cell>
          <cell r="K108">
            <v>500000</v>
          </cell>
          <cell r="L108">
            <v>5000000</v>
          </cell>
          <cell r="M108">
            <v>0</v>
          </cell>
          <cell r="N108">
            <v>0</v>
          </cell>
          <cell r="O108">
            <v>5600</v>
          </cell>
          <cell r="P108">
            <v>56000</v>
          </cell>
        </row>
        <row r="109">
          <cell r="A109" t="str">
            <v>A.3.3</v>
          </cell>
          <cell r="B109" t="str">
            <v xml:space="preserve">  6.9KV 500KVA , W/GCS , CAPACIATOR PANEL</v>
          </cell>
          <cell r="C109">
            <v>8</v>
          </cell>
          <cell r="D109" t="str">
            <v>PNL</v>
          </cell>
          <cell r="E109">
            <v>600000</v>
          </cell>
          <cell r="F109">
            <v>4800000</v>
          </cell>
          <cell r="G109">
            <v>0</v>
          </cell>
          <cell r="H109">
            <v>0</v>
          </cell>
          <cell r="I109">
            <v>20</v>
          </cell>
          <cell r="J109">
            <v>160</v>
          </cell>
          <cell r="K109">
            <v>600000</v>
          </cell>
          <cell r="L109">
            <v>4800000</v>
          </cell>
          <cell r="M109">
            <v>0</v>
          </cell>
          <cell r="N109">
            <v>0</v>
          </cell>
          <cell r="O109">
            <v>5600</v>
          </cell>
          <cell r="P109">
            <v>44800</v>
          </cell>
        </row>
        <row r="110">
          <cell r="A110" t="str">
            <v>A.3.4</v>
          </cell>
          <cell r="B110" t="str">
            <v xml:space="preserve">  CAST RESIN DRY TYPE TR. , IP20 ENCLOSURE , 3 PHASE 6.9KV/480V ,2000/2500KVA </v>
          </cell>
          <cell r="C110">
            <v>2</v>
          </cell>
          <cell r="D110" t="str">
            <v>SET</v>
          </cell>
          <cell r="E110">
            <v>652000</v>
          </cell>
          <cell r="F110">
            <v>1304000</v>
          </cell>
          <cell r="G110">
            <v>0</v>
          </cell>
          <cell r="H110">
            <v>0</v>
          </cell>
          <cell r="I110">
            <v>170</v>
          </cell>
          <cell r="J110">
            <v>340</v>
          </cell>
          <cell r="K110">
            <v>652000</v>
          </cell>
          <cell r="L110">
            <v>1304000</v>
          </cell>
          <cell r="M110">
            <v>0</v>
          </cell>
          <cell r="N110">
            <v>0</v>
          </cell>
          <cell r="O110">
            <v>47600</v>
          </cell>
          <cell r="P110">
            <v>95200</v>
          </cell>
        </row>
        <row r="111">
          <cell r="A111" t="str">
            <v>A.3.5</v>
          </cell>
          <cell r="B111" t="str">
            <v xml:space="preserve">  480V BUS DUCT, 3PH 3W, 4000A INDOOR, 65KA , 6M LG</v>
          </cell>
          <cell r="C111">
            <v>2</v>
          </cell>
          <cell r="D111" t="str">
            <v>SET</v>
          </cell>
          <cell r="E111">
            <v>350000</v>
          </cell>
          <cell r="F111">
            <v>700000</v>
          </cell>
          <cell r="G111">
            <v>0</v>
          </cell>
          <cell r="H111">
            <v>0</v>
          </cell>
          <cell r="I111">
            <v>36</v>
          </cell>
          <cell r="J111">
            <v>72</v>
          </cell>
          <cell r="K111">
            <v>350000</v>
          </cell>
          <cell r="L111">
            <v>700000</v>
          </cell>
          <cell r="M111">
            <v>0</v>
          </cell>
          <cell r="N111">
            <v>0</v>
          </cell>
          <cell r="O111">
            <v>10080</v>
          </cell>
          <cell r="P111">
            <v>20160</v>
          </cell>
        </row>
        <row r="112">
          <cell r="A112" t="str">
            <v>A.3.6</v>
          </cell>
          <cell r="B112" t="str">
            <v xml:space="preserve">  480V SWGR , 65KA, INCOMING ACB4000Ax2PNL &amp; TIE ACB4000A</v>
          </cell>
          <cell r="C112">
            <v>1</v>
          </cell>
          <cell r="D112" t="str">
            <v>LOT</v>
          </cell>
          <cell r="E112">
            <v>1830000</v>
          </cell>
          <cell r="F112">
            <v>1830000</v>
          </cell>
          <cell r="G112">
            <v>0</v>
          </cell>
          <cell r="H112">
            <v>0</v>
          </cell>
          <cell r="I112">
            <v>60</v>
          </cell>
          <cell r="J112">
            <v>60</v>
          </cell>
          <cell r="K112">
            <v>1830000</v>
          </cell>
          <cell r="L112">
            <v>1830000</v>
          </cell>
          <cell r="M112">
            <v>0</v>
          </cell>
          <cell r="N112">
            <v>0</v>
          </cell>
          <cell r="O112">
            <v>16800</v>
          </cell>
          <cell r="P112">
            <v>16800</v>
          </cell>
        </row>
        <row r="113">
          <cell r="A113" t="str">
            <v>A.3.7</v>
          </cell>
          <cell r="B113" t="str">
            <v xml:space="preserve">  480V MCC SINGLE FACE , 65KA</v>
          </cell>
          <cell r="C113">
            <v>19</v>
          </cell>
          <cell r="D113" t="str">
            <v>PNL</v>
          </cell>
          <cell r="E113">
            <v>160000</v>
          </cell>
          <cell r="F113">
            <v>3040000</v>
          </cell>
          <cell r="G113">
            <v>0</v>
          </cell>
          <cell r="H113">
            <v>0</v>
          </cell>
          <cell r="I113">
            <v>15</v>
          </cell>
          <cell r="J113">
            <v>285</v>
          </cell>
          <cell r="K113">
            <v>160000</v>
          </cell>
          <cell r="L113">
            <v>3040000</v>
          </cell>
          <cell r="M113">
            <v>0</v>
          </cell>
          <cell r="N113">
            <v>0</v>
          </cell>
          <cell r="O113">
            <v>4200</v>
          </cell>
          <cell r="P113">
            <v>79800</v>
          </cell>
        </row>
        <row r="114">
          <cell r="A114" t="str">
            <v>A.3.8</v>
          </cell>
          <cell r="B114" t="str">
            <v xml:space="preserve">  480V EMERGENCY SWGR , 65KA, 4000A ACB</v>
          </cell>
          <cell r="C114">
            <v>2</v>
          </cell>
          <cell r="D114" t="str">
            <v>PNL</v>
          </cell>
          <cell r="E114">
            <v>610000</v>
          </cell>
          <cell r="F114">
            <v>1220000</v>
          </cell>
          <cell r="G114">
            <v>0</v>
          </cell>
          <cell r="H114">
            <v>0</v>
          </cell>
          <cell r="I114">
            <v>20</v>
          </cell>
          <cell r="J114">
            <v>40</v>
          </cell>
          <cell r="K114">
            <v>610000</v>
          </cell>
          <cell r="L114">
            <v>1220000</v>
          </cell>
          <cell r="M114">
            <v>0</v>
          </cell>
          <cell r="N114">
            <v>0</v>
          </cell>
          <cell r="O114">
            <v>5600</v>
          </cell>
          <cell r="P114">
            <v>11200</v>
          </cell>
        </row>
        <row r="115">
          <cell r="A115" t="str">
            <v>A.3.9</v>
          </cell>
          <cell r="B115" t="str">
            <v xml:space="preserve">  480V EMERGENCY MCC SINGLE FACE , 40KA</v>
          </cell>
          <cell r="C115">
            <v>3</v>
          </cell>
          <cell r="D115" t="str">
            <v>PNL</v>
          </cell>
          <cell r="E115">
            <v>140000</v>
          </cell>
          <cell r="F115">
            <v>420000</v>
          </cell>
          <cell r="G115">
            <v>0</v>
          </cell>
          <cell r="H115">
            <v>0</v>
          </cell>
          <cell r="I115">
            <v>15</v>
          </cell>
          <cell r="J115">
            <v>45</v>
          </cell>
          <cell r="K115">
            <v>140000</v>
          </cell>
          <cell r="L115">
            <v>420000</v>
          </cell>
          <cell r="M115">
            <v>0</v>
          </cell>
          <cell r="N115">
            <v>0</v>
          </cell>
          <cell r="O115">
            <v>4200</v>
          </cell>
          <cell r="P115">
            <v>12600</v>
          </cell>
        </row>
        <row r="116">
          <cell r="B116" t="str">
            <v>SUB-TOTAL (A.3)</v>
          </cell>
          <cell r="C116">
            <v>0</v>
          </cell>
          <cell r="D116">
            <v>0</v>
          </cell>
          <cell r="E116">
            <v>0</v>
          </cell>
          <cell r="F116">
            <v>22314000</v>
          </cell>
          <cell r="G116">
            <v>0</v>
          </cell>
          <cell r="H116">
            <v>0</v>
          </cell>
          <cell r="I116">
            <v>0</v>
          </cell>
          <cell r="J116">
            <v>1302</v>
          </cell>
          <cell r="K116">
            <v>0</v>
          </cell>
          <cell r="L116">
            <v>22314000</v>
          </cell>
          <cell r="M116">
            <v>0</v>
          </cell>
          <cell r="N116">
            <v>0</v>
          </cell>
          <cell r="O116">
            <v>0</v>
          </cell>
          <cell r="P116">
            <v>364560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A118" t="str">
            <v>*</v>
          </cell>
          <cell r="B118" t="str">
            <v>DWG. NO. XK11A-0000-09,10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A119" t="str">
            <v xml:space="preserve">   A.4</v>
          </cell>
          <cell r="B119" t="str">
            <v>NO.2 SUBSTATION (???)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A.4.1</v>
          </cell>
          <cell r="B120" t="str">
            <v xml:space="preserve">  6.9KV VCB 1250A 40KA , SWITCHGEAR INCOMING &amp; TIE PANEL &amp; FEEDER PANEL</v>
          </cell>
          <cell r="C120">
            <v>5</v>
          </cell>
          <cell r="D120" t="str">
            <v>PNL</v>
          </cell>
          <cell r="E120">
            <v>800000</v>
          </cell>
          <cell r="F120">
            <v>4000000</v>
          </cell>
          <cell r="G120">
            <v>0</v>
          </cell>
          <cell r="H120">
            <v>0</v>
          </cell>
          <cell r="I120">
            <v>20</v>
          </cell>
          <cell r="J120">
            <v>100</v>
          </cell>
          <cell r="K120">
            <v>800000</v>
          </cell>
          <cell r="L120">
            <v>4000000</v>
          </cell>
          <cell r="M120">
            <v>0</v>
          </cell>
          <cell r="N120">
            <v>0</v>
          </cell>
          <cell r="O120">
            <v>5600</v>
          </cell>
          <cell r="P120">
            <v>28000</v>
          </cell>
        </row>
        <row r="121">
          <cell r="A121" t="str">
            <v>A.4.2</v>
          </cell>
          <cell r="B121" t="str">
            <v xml:space="preserve">  6.9KV VCB 1250A , MCC PANEL</v>
          </cell>
          <cell r="C121">
            <v>3</v>
          </cell>
          <cell r="D121" t="str">
            <v>PNL</v>
          </cell>
          <cell r="E121">
            <v>700000</v>
          </cell>
          <cell r="F121">
            <v>2100000</v>
          </cell>
          <cell r="G121">
            <v>0</v>
          </cell>
          <cell r="H121">
            <v>0</v>
          </cell>
          <cell r="I121">
            <v>20</v>
          </cell>
          <cell r="J121">
            <v>60</v>
          </cell>
          <cell r="K121">
            <v>700000</v>
          </cell>
          <cell r="L121">
            <v>2100000</v>
          </cell>
          <cell r="M121">
            <v>0</v>
          </cell>
          <cell r="N121">
            <v>0</v>
          </cell>
          <cell r="O121">
            <v>5600</v>
          </cell>
          <cell r="P121">
            <v>16800</v>
          </cell>
        </row>
        <row r="122">
          <cell r="A122" t="str">
            <v>A.4.3</v>
          </cell>
          <cell r="B122" t="str">
            <v xml:space="preserve">  6.9KV 500KVA , W/GCS , CAPACIATOR PANEL</v>
          </cell>
          <cell r="C122">
            <v>2</v>
          </cell>
          <cell r="D122" t="str">
            <v>PNL</v>
          </cell>
          <cell r="E122">
            <v>600000</v>
          </cell>
          <cell r="F122">
            <v>1200000</v>
          </cell>
          <cell r="G122">
            <v>0</v>
          </cell>
          <cell r="H122">
            <v>0</v>
          </cell>
          <cell r="I122">
            <v>20</v>
          </cell>
          <cell r="J122">
            <v>40</v>
          </cell>
          <cell r="K122">
            <v>600000</v>
          </cell>
          <cell r="L122">
            <v>1200000</v>
          </cell>
          <cell r="M122">
            <v>0</v>
          </cell>
          <cell r="N122">
            <v>0</v>
          </cell>
          <cell r="O122">
            <v>5600</v>
          </cell>
          <cell r="P122">
            <v>11200</v>
          </cell>
        </row>
        <row r="123">
          <cell r="A123" t="str">
            <v>A.4.4</v>
          </cell>
          <cell r="B123" t="str">
            <v xml:space="preserve">  6.9KV 1000KVA , W/GCS , CAPACIATOR PANEL</v>
          </cell>
          <cell r="C123">
            <v>2</v>
          </cell>
          <cell r="D123" t="str">
            <v>PNL</v>
          </cell>
          <cell r="E123">
            <v>900000</v>
          </cell>
          <cell r="F123">
            <v>1800000</v>
          </cell>
          <cell r="G123">
            <v>0</v>
          </cell>
          <cell r="H123">
            <v>0</v>
          </cell>
          <cell r="I123">
            <v>20</v>
          </cell>
          <cell r="J123">
            <v>40</v>
          </cell>
          <cell r="K123">
            <v>900000</v>
          </cell>
          <cell r="L123">
            <v>1800000</v>
          </cell>
          <cell r="M123">
            <v>0</v>
          </cell>
          <cell r="N123">
            <v>0</v>
          </cell>
          <cell r="O123">
            <v>5600</v>
          </cell>
          <cell r="P123">
            <v>11200</v>
          </cell>
        </row>
        <row r="124">
          <cell r="A124" t="str">
            <v>A.4.5</v>
          </cell>
          <cell r="B124" t="str">
            <v xml:space="preserve">  CAST RESIN DRY TYPE TR. , IP20 ENCLOSURE , 3 PHASE 6.9KV/480V ,1000KVA </v>
          </cell>
          <cell r="C124">
            <v>2</v>
          </cell>
          <cell r="D124" t="str">
            <v>SET</v>
          </cell>
          <cell r="E124">
            <v>410000</v>
          </cell>
          <cell r="F124">
            <v>820000</v>
          </cell>
          <cell r="G124">
            <v>0</v>
          </cell>
          <cell r="H124">
            <v>0</v>
          </cell>
          <cell r="I124">
            <v>108</v>
          </cell>
          <cell r="J124">
            <v>216</v>
          </cell>
          <cell r="K124">
            <v>410000</v>
          </cell>
          <cell r="L124">
            <v>820000</v>
          </cell>
          <cell r="M124">
            <v>0</v>
          </cell>
          <cell r="N124">
            <v>0</v>
          </cell>
          <cell r="O124">
            <v>30240</v>
          </cell>
          <cell r="P124">
            <v>60480</v>
          </cell>
        </row>
        <row r="125">
          <cell r="A125" t="str">
            <v>A.4.6</v>
          </cell>
          <cell r="B125" t="str">
            <v xml:space="preserve">  480V BUS DUCT, 3PH 3W, 1600A INDOOR, 30KA , 6M LG</v>
          </cell>
          <cell r="C125">
            <v>2</v>
          </cell>
          <cell r="D125" t="str">
            <v>SET</v>
          </cell>
          <cell r="E125">
            <v>210000</v>
          </cell>
          <cell r="F125">
            <v>420000</v>
          </cell>
          <cell r="G125">
            <v>0</v>
          </cell>
          <cell r="H125">
            <v>0</v>
          </cell>
          <cell r="I125">
            <v>36</v>
          </cell>
          <cell r="J125">
            <v>72</v>
          </cell>
          <cell r="K125">
            <v>210000</v>
          </cell>
          <cell r="L125">
            <v>420000</v>
          </cell>
          <cell r="M125">
            <v>0</v>
          </cell>
          <cell r="N125">
            <v>0</v>
          </cell>
          <cell r="O125">
            <v>10080</v>
          </cell>
          <cell r="P125">
            <v>20160</v>
          </cell>
        </row>
        <row r="126">
          <cell r="A126" t="str">
            <v>A.4.7</v>
          </cell>
          <cell r="B126" t="str">
            <v xml:space="preserve">  480V SWGR , 30KA, INCOMING ACB1600Ax2PNL &amp; TIE ACB1600A </v>
          </cell>
          <cell r="C126">
            <v>1</v>
          </cell>
          <cell r="D126" t="str">
            <v>LOT</v>
          </cell>
          <cell r="E126">
            <v>1100000</v>
          </cell>
          <cell r="F126">
            <v>1100000</v>
          </cell>
          <cell r="G126">
            <v>0</v>
          </cell>
          <cell r="H126">
            <v>0</v>
          </cell>
          <cell r="I126">
            <v>60</v>
          </cell>
          <cell r="J126">
            <v>60</v>
          </cell>
          <cell r="K126">
            <v>1100000</v>
          </cell>
          <cell r="L126">
            <v>1100000</v>
          </cell>
          <cell r="M126">
            <v>0</v>
          </cell>
          <cell r="N126">
            <v>0</v>
          </cell>
          <cell r="O126">
            <v>16800</v>
          </cell>
          <cell r="P126">
            <v>16800</v>
          </cell>
        </row>
        <row r="127">
          <cell r="A127" t="str">
            <v>A.4.8</v>
          </cell>
          <cell r="B127" t="str">
            <v xml:space="preserve">  480V MCC SINGLE FACE , 30KA</v>
          </cell>
          <cell r="C127">
            <v>7</v>
          </cell>
          <cell r="D127" t="str">
            <v>PNL</v>
          </cell>
          <cell r="E127">
            <v>120000</v>
          </cell>
          <cell r="F127">
            <v>840000</v>
          </cell>
          <cell r="G127">
            <v>0</v>
          </cell>
          <cell r="H127">
            <v>0</v>
          </cell>
          <cell r="I127">
            <v>15</v>
          </cell>
          <cell r="J127">
            <v>105</v>
          </cell>
          <cell r="K127">
            <v>120000</v>
          </cell>
          <cell r="L127">
            <v>840000</v>
          </cell>
          <cell r="M127">
            <v>0</v>
          </cell>
          <cell r="N127">
            <v>0</v>
          </cell>
          <cell r="O127">
            <v>4200</v>
          </cell>
          <cell r="P127">
            <v>29400</v>
          </cell>
        </row>
        <row r="128">
          <cell r="B128" t="str">
            <v>SUB-TOTAL (A.4)</v>
          </cell>
          <cell r="C128">
            <v>0</v>
          </cell>
          <cell r="D128">
            <v>0</v>
          </cell>
          <cell r="E128">
            <v>0</v>
          </cell>
          <cell r="F128">
            <v>12280000</v>
          </cell>
          <cell r="G128">
            <v>0</v>
          </cell>
          <cell r="H128">
            <v>0</v>
          </cell>
          <cell r="I128">
            <v>0</v>
          </cell>
          <cell r="J128">
            <v>693</v>
          </cell>
          <cell r="K128">
            <v>0</v>
          </cell>
          <cell r="L128">
            <v>12280000</v>
          </cell>
          <cell r="M128">
            <v>0</v>
          </cell>
          <cell r="N128">
            <v>0</v>
          </cell>
          <cell r="O128">
            <v>0</v>
          </cell>
          <cell r="P128">
            <v>194040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</row>
        <row r="130">
          <cell r="A130" t="str">
            <v>A.5</v>
          </cell>
          <cell r="B130" t="str">
            <v xml:space="preserve"> DISEL STAND-BY GENERATOR 1250KW OUTPUT,</v>
          </cell>
          <cell r="C130">
            <v>1</v>
          </cell>
          <cell r="D130" t="str">
            <v>SET</v>
          </cell>
          <cell r="E130">
            <v>6250000</v>
          </cell>
          <cell r="F130">
            <v>6250000</v>
          </cell>
          <cell r="G130">
            <v>0</v>
          </cell>
          <cell r="H130">
            <v>0</v>
          </cell>
          <cell r="I130">
            <v>560</v>
          </cell>
          <cell r="J130">
            <v>560</v>
          </cell>
          <cell r="K130">
            <v>6250000</v>
          </cell>
          <cell r="L130">
            <v>6250000</v>
          </cell>
          <cell r="M130">
            <v>0</v>
          </cell>
          <cell r="N130">
            <v>0</v>
          </cell>
          <cell r="O130">
            <v>224000</v>
          </cell>
          <cell r="P130">
            <v>224000</v>
          </cell>
        </row>
        <row r="131">
          <cell r="B131" t="str">
            <v xml:space="preserve"> 3PH 3W 480V, W/ CONTROL PANEL , DALY TANK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</row>
        <row r="132">
          <cell r="A132">
            <v>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A.6</v>
          </cell>
          <cell r="B133" t="str">
            <v>3 PHASE 480V-120V UPS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A.6.1</v>
          </cell>
          <cell r="B134" t="str">
            <v xml:space="preserve"> 100 KVA ,  W/ BATTERY LEAD-CALCIUM TYPE 30 MIN.</v>
          </cell>
          <cell r="C134">
            <v>1</v>
          </cell>
          <cell r="D134" t="str">
            <v>SET</v>
          </cell>
          <cell r="E134">
            <v>1250000</v>
          </cell>
          <cell r="F134">
            <v>1250000</v>
          </cell>
          <cell r="G134">
            <v>0</v>
          </cell>
          <cell r="H134">
            <v>0</v>
          </cell>
          <cell r="I134">
            <v>188</v>
          </cell>
          <cell r="J134">
            <v>188</v>
          </cell>
          <cell r="K134">
            <v>1250000</v>
          </cell>
          <cell r="L134">
            <v>1250000</v>
          </cell>
          <cell r="M134">
            <v>0</v>
          </cell>
          <cell r="N134">
            <v>0</v>
          </cell>
          <cell r="O134">
            <v>52640</v>
          </cell>
          <cell r="P134">
            <v>52640</v>
          </cell>
        </row>
        <row r="135">
          <cell r="A135" t="str">
            <v>A.6.2</v>
          </cell>
          <cell r="B135" t="str">
            <v xml:space="preserve"> 15 KVA ,  W/ BATTERY LEAD-CALCIUM TYPE 30 MIN.</v>
          </cell>
          <cell r="C135">
            <v>1</v>
          </cell>
          <cell r="D135" t="str">
            <v>SET</v>
          </cell>
          <cell r="E135">
            <v>300000</v>
          </cell>
          <cell r="F135">
            <v>300000</v>
          </cell>
          <cell r="G135">
            <v>0</v>
          </cell>
          <cell r="H135">
            <v>0</v>
          </cell>
          <cell r="I135">
            <v>50</v>
          </cell>
          <cell r="J135">
            <v>50</v>
          </cell>
          <cell r="K135">
            <v>300000</v>
          </cell>
          <cell r="L135">
            <v>300000</v>
          </cell>
          <cell r="M135">
            <v>0</v>
          </cell>
          <cell r="N135">
            <v>0</v>
          </cell>
          <cell r="O135">
            <v>14000</v>
          </cell>
          <cell r="P135">
            <v>14000</v>
          </cell>
        </row>
        <row r="136">
          <cell r="B136" t="str">
            <v>SUB-TOTAL (A.6)</v>
          </cell>
          <cell r="C136">
            <v>0</v>
          </cell>
          <cell r="D136">
            <v>0</v>
          </cell>
          <cell r="E136">
            <v>0</v>
          </cell>
          <cell r="F136">
            <v>1550000</v>
          </cell>
          <cell r="G136">
            <v>0</v>
          </cell>
          <cell r="H136">
            <v>0</v>
          </cell>
          <cell r="I136">
            <v>0</v>
          </cell>
          <cell r="J136">
            <v>238</v>
          </cell>
          <cell r="K136">
            <v>0</v>
          </cell>
          <cell r="L136">
            <v>1550000</v>
          </cell>
          <cell r="M136">
            <v>0</v>
          </cell>
          <cell r="N136">
            <v>0</v>
          </cell>
          <cell r="O136">
            <v>0</v>
          </cell>
          <cell r="P136">
            <v>66640</v>
          </cell>
        </row>
        <row r="137">
          <cell r="F137">
            <v>0</v>
          </cell>
          <cell r="H137">
            <v>0</v>
          </cell>
        </row>
        <row r="138">
          <cell r="A138" t="str">
            <v>A.7</v>
          </cell>
          <cell r="B138" t="str">
            <v xml:space="preserve">  DC POWER SUPPLY       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A.7.1</v>
          </cell>
          <cell r="B139" t="str">
            <v xml:space="preserve"> 125VDC CHAGER, 50A,  W/ 60AH LEAD-CALCIUM BATTERY &amp; RACK</v>
          </cell>
          <cell r="C139">
            <v>1</v>
          </cell>
          <cell r="D139" t="str">
            <v>SET</v>
          </cell>
          <cell r="E139">
            <v>325000</v>
          </cell>
          <cell r="F139">
            <v>325000</v>
          </cell>
          <cell r="G139">
            <v>0</v>
          </cell>
          <cell r="H139">
            <v>0</v>
          </cell>
          <cell r="I139">
            <v>50</v>
          </cell>
          <cell r="J139">
            <v>50</v>
          </cell>
          <cell r="K139">
            <v>325000</v>
          </cell>
          <cell r="L139">
            <v>325000</v>
          </cell>
          <cell r="M139">
            <v>0</v>
          </cell>
          <cell r="N139">
            <v>0</v>
          </cell>
          <cell r="O139">
            <v>14000</v>
          </cell>
          <cell r="P139">
            <v>14000</v>
          </cell>
        </row>
        <row r="140">
          <cell r="A140" t="str">
            <v>A.7.2</v>
          </cell>
          <cell r="B140" t="str">
            <v xml:space="preserve"> 125VDC CHAGER, 25A,  W/ 30AH LEAD-CALCIUM BATTERY &amp; RACK</v>
          </cell>
          <cell r="C140">
            <v>2</v>
          </cell>
          <cell r="D140" t="str">
            <v>SET</v>
          </cell>
          <cell r="E140">
            <v>245000</v>
          </cell>
          <cell r="F140">
            <v>490000</v>
          </cell>
          <cell r="G140">
            <v>0</v>
          </cell>
          <cell r="H140">
            <v>0</v>
          </cell>
          <cell r="I140">
            <v>35</v>
          </cell>
          <cell r="J140">
            <v>70</v>
          </cell>
          <cell r="K140">
            <v>245000</v>
          </cell>
          <cell r="L140">
            <v>490000</v>
          </cell>
          <cell r="M140">
            <v>0</v>
          </cell>
          <cell r="N140">
            <v>0</v>
          </cell>
          <cell r="O140">
            <v>9800</v>
          </cell>
          <cell r="P140">
            <v>19600</v>
          </cell>
        </row>
        <row r="141">
          <cell r="B141" t="str">
            <v>SUB-TOTAL (A7)</v>
          </cell>
          <cell r="C141">
            <v>0</v>
          </cell>
          <cell r="D141">
            <v>0</v>
          </cell>
          <cell r="E141">
            <v>0</v>
          </cell>
          <cell r="F141">
            <v>815000</v>
          </cell>
          <cell r="G141">
            <v>0</v>
          </cell>
          <cell r="H141">
            <v>0</v>
          </cell>
          <cell r="I141">
            <v>0</v>
          </cell>
          <cell r="J141">
            <v>120</v>
          </cell>
          <cell r="K141">
            <v>0</v>
          </cell>
          <cell r="L141">
            <v>815000</v>
          </cell>
          <cell r="M141">
            <v>0</v>
          </cell>
          <cell r="N141">
            <v>0</v>
          </cell>
          <cell r="O141">
            <v>0</v>
          </cell>
          <cell r="P141">
            <v>33600</v>
          </cell>
        </row>
        <row r="143">
          <cell r="A143" t="str">
            <v>A.8</v>
          </cell>
          <cell r="B143" t="str">
            <v>OTHER</v>
          </cell>
        </row>
        <row r="144">
          <cell r="A144" t="str">
            <v>A.8.1</v>
          </cell>
          <cell r="B144" t="str">
            <v>SELF-STANDING POWER PANEL, 480V, 65KA</v>
          </cell>
          <cell r="C144">
            <v>1</v>
          </cell>
          <cell r="D144" t="str">
            <v>SET</v>
          </cell>
          <cell r="E144">
            <v>120000</v>
          </cell>
          <cell r="F144">
            <v>120000</v>
          </cell>
          <cell r="G144">
            <v>0</v>
          </cell>
          <cell r="H144">
            <v>0</v>
          </cell>
          <cell r="I144">
            <v>20</v>
          </cell>
          <cell r="J144">
            <v>20</v>
          </cell>
          <cell r="K144">
            <v>120000</v>
          </cell>
          <cell r="L144">
            <v>120000</v>
          </cell>
          <cell r="M144">
            <v>0</v>
          </cell>
          <cell r="N144">
            <v>0</v>
          </cell>
          <cell r="O144">
            <v>5600</v>
          </cell>
          <cell r="P144">
            <v>5600</v>
          </cell>
        </row>
        <row r="145">
          <cell r="B145" t="str">
            <v>PNL. NO. CCR2-D-MC1 (DWG. NO. XK11A-0000-12)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A.8.2</v>
          </cell>
          <cell r="B146" t="str">
            <v>SELF-STANDING POWER PANEL, 480V, 30KA (DWG. NO. XK11A-0000-12)</v>
          </cell>
          <cell r="C146">
            <v>6</v>
          </cell>
          <cell r="D146" t="str">
            <v>SET</v>
          </cell>
          <cell r="E146">
            <v>140000</v>
          </cell>
          <cell r="F146">
            <v>840000</v>
          </cell>
          <cell r="G146">
            <v>0</v>
          </cell>
          <cell r="H146">
            <v>0</v>
          </cell>
          <cell r="I146">
            <v>20</v>
          </cell>
          <cell r="J146">
            <v>120</v>
          </cell>
          <cell r="K146">
            <v>140000</v>
          </cell>
          <cell r="L146">
            <v>840000</v>
          </cell>
          <cell r="M146">
            <v>0</v>
          </cell>
          <cell r="N146">
            <v>0</v>
          </cell>
          <cell r="O146">
            <v>5600</v>
          </cell>
          <cell r="P146">
            <v>33600</v>
          </cell>
        </row>
        <row r="147">
          <cell r="B147" t="str">
            <v>PNL. NO. POWER PANEL.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A.8.3</v>
          </cell>
          <cell r="B148" t="str">
            <v>DRY RTANSFORMER, WEATHER PROOF ENCLOSURE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</row>
        <row r="149">
          <cell r="B149" t="str">
            <v>480/240V, 30KVA</v>
          </cell>
          <cell r="C149">
            <v>9</v>
          </cell>
          <cell r="D149" t="str">
            <v>SET</v>
          </cell>
          <cell r="E149">
            <v>40000</v>
          </cell>
          <cell r="F149">
            <v>360000</v>
          </cell>
          <cell r="G149">
            <v>0</v>
          </cell>
          <cell r="H149">
            <v>0</v>
          </cell>
          <cell r="I149">
            <v>18</v>
          </cell>
          <cell r="J149">
            <v>162</v>
          </cell>
          <cell r="K149">
            <v>40000</v>
          </cell>
          <cell r="L149">
            <v>360000</v>
          </cell>
          <cell r="M149">
            <v>0</v>
          </cell>
          <cell r="N149">
            <v>0</v>
          </cell>
          <cell r="O149">
            <v>5040</v>
          </cell>
          <cell r="P149">
            <v>45360</v>
          </cell>
        </row>
        <row r="150">
          <cell r="B150" t="str">
            <v>480/240V, 20KVA</v>
          </cell>
          <cell r="C150">
            <v>6</v>
          </cell>
          <cell r="D150" t="str">
            <v>SET</v>
          </cell>
          <cell r="E150">
            <v>30000</v>
          </cell>
          <cell r="F150">
            <v>180000</v>
          </cell>
          <cell r="G150">
            <v>0</v>
          </cell>
          <cell r="H150">
            <v>0</v>
          </cell>
          <cell r="I150">
            <v>14</v>
          </cell>
          <cell r="J150">
            <v>84</v>
          </cell>
          <cell r="K150">
            <v>30000</v>
          </cell>
          <cell r="L150">
            <v>180000</v>
          </cell>
          <cell r="M150">
            <v>0</v>
          </cell>
          <cell r="N150">
            <v>0</v>
          </cell>
          <cell r="O150">
            <v>3920</v>
          </cell>
          <cell r="P150">
            <v>23520</v>
          </cell>
        </row>
        <row r="151">
          <cell r="B151" t="str">
            <v>480/240V, 10KVA</v>
          </cell>
          <cell r="C151">
            <v>9</v>
          </cell>
          <cell r="D151" t="str">
            <v>SET</v>
          </cell>
          <cell r="E151">
            <v>22000</v>
          </cell>
          <cell r="F151">
            <v>198000</v>
          </cell>
          <cell r="G151">
            <v>0</v>
          </cell>
          <cell r="H151">
            <v>0</v>
          </cell>
          <cell r="I151">
            <v>9</v>
          </cell>
          <cell r="J151">
            <v>81</v>
          </cell>
          <cell r="K151">
            <v>22000</v>
          </cell>
          <cell r="L151">
            <v>198000</v>
          </cell>
          <cell r="M151">
            <v>0</v>
          </cell>
          <cell r="N151">
            <v>0</v>
          </cell>
          <cell r="O151">
            <v>2520</v>
          </cell>
          <cell r="P151">
            <v>22680</v>
          </cell>
        </row>
        <row r="152">
          <cell r="A152" t="str">
            <v>A.8.4</v>
          </cell>
          <cell r="B152" t="str">
            <v xml:space="preserve"> MCC FOR TRASH , 480V MCC SINGLE FACE , 30KA</v>
          </cell>
          <cell r="C152">
            <v>5</v>
          </cell>
          <cell r="D152" t="str">
            <v>SET</v>
          </cell>
          <cell r="E152">
            <v>120000</v>
          </cell>
          <cell r="F152">
            <v>600000</v>
          </cell>
          <cell r="G152">
            <v>0</v>
          </cell>
          <cell r="H152">
            <v>0</v>
          </cell>
          <cell r="I152">
            <v>15</v>
          </cell>
          <cell r="J152">
            <v>75</v>
          </cell>
          <cell r="K152">
            <v>120000</v>
          </cell>
          <cell r="L152">
            <v>600000</v>
          </cell>
          <cell r="M152">
            <v>0</v>
          </cell>
          <cell r="N152">
            <v>0</v>
          </cell>
          <cell r="O152">
            <v>4200</v>
          </cell>
          <cell r="P152">
            <v>21000</v>
          </cell>
        </row>
        <row r="153">
          <cell r="A153" t="str">
            <v>A.8.5</v>
          </cell>
          <cell r="B153" t="str">
            <v>600VAC, 100A ATS PANEL, WALL MOUNT, INDOOR</v>
          </cell>
          <cell r="C153">
            <v>3</v>
          </cell>
          <cell r="D153" t="str">
            <v>SET</v>
          </cell>
          <cell r="E153">
            <v>100000</v>
          </cell>
          <cell r="F153">
            <v>300000</v>
          </cell>
          <cell r="G153">
            <v>0</v>
          </cell>
          <cell r="H153">
            <v>0</v>
          </cell>
          <cell r="I153">
            <v>15</v>
          </cell>
          <cell r="J153">
            <v>45</v>
          </cell>
          <cell r="K153">
            <v>100000</v>
          </cell>
          <cell r="L153">
            <v>300000</v>
          </cell>
          <cell r="M153">
            <v>0</v>
          </cell>
          <cell r="N153">
            <v>0</v>
          </cell>
          <cell r="O153">
            <v>4200</v>
          </cell>
          <cell r="P153">
            <v>12600</v>
          </cell>
        </row>
        <row r="154">
          <cell r="A154" t="str">
            <v>A.8.6</v>
          </cell>
          <cell r="B154" t="str">
            <v>100A NFB PANEL, WALL MOUNT., INDOOR</v>
          </cell>
          <cell r="C154">
            <v>6</v>
          </cell>
          <cell r="D154" t="str">
            <v>SET</v>
          </cell>
          <cell r="E154">
            <v>4000</v>
          </cell>
          <cell r="F154">
            <v>24000</v>
          </cell>
          <cell r="G154">
            <v>0</v>
          </cell>
          <cell r="H154">
            <v>0</v>
          </cell>
          <cell r="I154">
            <v>4</v>
          </cell>
          <cell r="J154">
            <v>24</v>
          </cell>
          <cell r="K154">
            <v>4000</v>
          </cell>
          <cell r="L154">
            <v>24000</v>
          </cell>
          <cell r="M154">
            <v>0</v>
          </cell>
          <cell r="N154">
            <v>0</v>
          </cell>
          <cell r="O154">
            <v>1120</v>
          </cell>
          <cell r="P154">
            <v>6720</v>
          </cell>
        </row>
        <row r="155">
          <cell r="A155" t="str">
            <v>A.8.7</v>
          </cell>
          <cell r="B155" t="str">
            <v>600V PDP PANEL, WALL MOUNT, INDOOR</v>
          </cell>
          <cell r="C155">
            <v>6</v>
          </cell>
          <cell r="D155" t="str">
            <v>SET</v>
          </cell>
          <cell r="E155">
            <v>9000</v>
          </cell>
          <cell r="F155">
            <v>54000</v>
          </cell>
          <cell r="G155">
            <v>0</v>
          </cell>
          <cell r="H155">
            <v>0</v>
          </cell>
          <cell r="I155">
            <v>6</v>
          </cell>
          <cell r="J155">
            <v>36</v>
          </cell>
          <cell r="K155">
            <v>9000</v>
          </cell>
          <cell r="L155">
            <v>54000</v>
          </cell>
          <cell r="M155">
            <v>0</v>
          </cell>
          <cell r="N155">
            <v>0</v>
          </cell>
          <cell r="O155">
            <v>1680</v>
          </cell>
          <cell r="P155">
            <v>10080</v>
          </cell>
        </row>
        <row r="156">
          <cell r="B156" t="str">
            <v>W/NFB 100A x 1, 20A x6, 10KA</v>
          </cell>
        </row>
        <row r="157">
          <cell r="A157" t="str">
            <v>A.8.8</v>
          </cell>
          <cell r="B157" t="str">
            <v>POWER SYSTEM GRAPHIC PANEL, SELF-STANDING,</v>
          </cell>
          <cell r="C157">
            <v>1</v>
          </cell>
          <cell r="D157" t="str">
            <v>SET</v>
          </cell>
          <cell r="E157">
            <v>320000</v>
          </cell>
          <cell r="F157">
            <v>320000</v>
          </cell>
          <cell r="G157">
            <v>0</v>
          </cell>
          <cell r="H157">
            <v>0</v>
          </cell>
          <cell r="I157">
            <v>30</v>
          </cell>
          <cell r="J157">
            <v>30</v>
          </cell>
          <cell r="K157">
            <v>320000</v>
          </cell>
          <cell r="L157">
            <v>320000</v>
          </cell>
          <cell r="M157">
            <v>0</v>
          </cell>
          <cell r="N157">
            <v>0</v>
          </cell>
          <cell r="O157">
            <v>8400</v>
          </cell>
          <cell r="P157">
            <v>8400</v>
          </cell>
        </row>
        <row r="158">
          <cell r="B158" t="str">
            <v xml:space="preserve"> ENCLOSURE SIZE 2200(W)x2300(H)x600(D)MM.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</row>
        <row r="159">
          <cell r="B159" t="str">
            <v>MOSAIC PANEL SIZE 2000(W)x1000(H)MM., W/ LIGHT x60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</row>
        <row r="160">
          <cell r="B160" t="str">
            <v>SUB-TOTAL (A.8)</v>
          </cell>
          <cell r="C160">
            <v>0</v>
          </cell>
          <cell r="D160">
            <v>0</v>
          </cell>
          <cell r="E160">
            <v>0</v>
          </cell>
          <cell r="F160">
            <v>2996000</v>
          </cell>
          <cell r="G160">
            <v>0</v>
          </cell>
          <cell r="H160">
            <v>0</v>
          </cell>
          <cell r="I160">
            <v>0</v>
          </cell>
          <cell r="J160">
            <v>677</v>
          </cell>
          <cell r="K160">
            <v>0</v>
          </cell>
          <cell r="L160">
            <v>2996000</v>
          </cell>
          <cell r="M160">
            <v>0</v>
          </cell>
          <cell r="N160">
            <v>0</v>
          </cell>
          <cell r="O160">
            <v>0</v>
          </cell>
          <cell r="P160">
            <v>189560</v>
          </cell>
        </row>
        <row r="161">
          <cell r="O161">
            <v>0</v>
          </cell>
        </row>
        <row r="162">
          <cell r="A162" t="str">
            <v xml:space="preserve">   A.9</v>
          </cell>
          <cell r="B162" t="str">
            <v xml:space="preserve"> TEST FEE FOR MECH-ELEC CONSULANT CO. &amp; T.P.C.</v>
          </cell>
          <cell r="C162">
            <v>1</v>
          </cell>
          <cell r="D162" t="str">
            <v>LOT</v>
          </cell>
          <cell r="E162" t="str">
            <v>M+L</v>
          </cell>
          <cell r="F162" t="str">
            <v>M+L</v>
          </cell>
          <cell r="G162">
            <v>0</v>
          </cell>
          <cell r="H162">
            <v>0</v>
          </cell>
          <cell r="I162">
            <v>1607</v>
          </cell>
          <cell r="J162">
            <v>1607</v>
          </cell>
          <cell r="K162" t="str">
            <v>M+L</v>
          </cell>
          <cell r="L162" t="str">
            <v>M+L</v>
          </cell>
          <cell r="M162">
            <v>0</v>
          </cell>
          <cell r="N162">
            <v>0</v>
          </cell>
          <cell r="O162">
            <v>1800000</v>
          </cell>
          <cell r="P162">
            <v>1800000</v>
          </cell>
        </row>
        <row r="163"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</row>
        <row r="164">
          <cell r="A164">
            <v>10</v>
          </cell>
          <cell r="B164" t="str">
            <v>SUB-TOTAL : (A)</v>
          </cell>
          <cell r="C164">
            <v>15000</v>
          </cell>
          <cell r="D164" t="str">
            <v>M</v>
          </cell>
          <cell r="E164">
            <v>223</v>
          </cell>
          <cell r="F164">
            <v>138612100</v>
          </cell>
          <cell r="G164">
            <v>0</v>
          </cell>
          <cell r="H164">
            <v>0</v>
          </cell>
          <cell r="I164">
            <v>0</v>
          </cell>
          <cell r="J164">
            <v>13764</v>
          </cell>
          <cell r="K164">
            <v>0</v>
          </cell>
          <cell r="L164">
            <v>138612100</v>
          </cell>
          <cell r="M164">
            <v>0</v>
          </cell>
          <cell r="N164">
            <v>0</v>
          </cell>
          <cell r="O164">
            <v>0</v>
          </cell>
          <cell r="P164">
            <v>6155030</v>
          </cell>
        </row>
        <row r="166">
          <cell r="A166" t="str">
            <v>B</v>
          </cell>
          <cell r="B166" t="str">
            <v>CABLE &amp; WIRE FOR POWER SYSTEM</v>
          </cell>
          <cell r="C166">
            <v>130730</v>
          </cell>
          <cell r="D166" t="str">
            <v>M</v>
          </cell>
          <cell r="H166">
            <v>0</v>
          </cell>
          <cell r="I166">
            <v>0.11700000000000001</v>
          </cell>
          <cell r="J166">
            <v>35</v>
          </cell>
          <cell r="K166">
            <v>28</v>
          </cell>
          <cell r="L166">
            <v>8400</v>
          </cell>
          <cell r="M166">
            <v>0</v>
          </cell>
          <cell r="N166">
            <v>0</v>
          </cell>
          <cell r="O166">
            <v>33</v>
          </cell>
          <cell r="P166">
            <v>9900</v>
          </cell>
        </row>
        <row r="167"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A168" t="str">
            <v>B</v>
          </cell>
          <cell r="B168" t="str">
            <v xml:space="preserve"> POWER DISTRIBUTION SYSTEM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</row>
        <row r="169"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</row>
        <row r="170">
          <cell r="B170" t="str">
            <v xml:space="preserve"> 600V POWER CABLE, XLPE INSU. PVC JACKET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>
            <v>1</v>
          </cell>
          <cell r="B171" t="str">
            <v xml:space="preserve">    3/C 3.5 sq.mm </v>
          </cell>
          <cell r="C171">
            <v>4500</v>
          </cell>
          <cell r="D171" t="str">
            <v>M</v>
          </cell>
          <cell r="E171">
            <v>15</v>
          </cell>
          <cell r="F171">
            <v>67500</v>
          </cell>
          <cell r="G171">
            <v>0</v>
          </cell>
          <cell r="H171">
            <v>0</v>
          </cell>
          <cell r="I171">
            <v>7.9000000000000001E-2</v>
          </cell>
          <cell r="J171">
            <v>356</v>
          </cell>
          <cell r="K171">
            <v>15</v>
          </cell>
          <cell r="L171">
            <v>67500</v>
          </cell>
          <cell r="M171">
            <v>0</v>
          </cell>
          <cell r="N171">
            <v>0</v>
          </cell>
          <cell r="O171">
            <v>22</v>
          </cell>
          <cell r="P171">
            <v>99000</v>
          </cell>
        </row>
        <row r="172">
          <cell r="A172">
            <v>2</v>
          </cell>
          <cell r="B172" t="str">
            <v xml:space="preserve">    3/C 5.5 sq.mm </v>
          </cell>
          <cell r="C172">
            <v>4000</v>
          </cell>
          <cell r="D172" t="str">
            <v>M</v>
          </cell>
          <cell r="E172">
            <v>20</v>
          </cell>
          <cell r="F172">
            <v>80000</v>
          </cell>
          <cell r="G172">
            <v>0</v>
          </cell>
          <cell r="H172">
            <v>0</v>
          </cell>
          <cell r="I172">
            <v>0.1</v>
          </cell>
          <cell r="J172">
            <v>400</v>
          </cell>
          <cell r="K172">
            <v>20</v>
          </cell>
          <cell r="L172">
            <v>80000</v>
          </cell>
          <cell r="M172">
            <v>0</v>
          </cell>
          <cell r="N172">
            <v>0</v>
          </cell>
          <cell r="O172">
            <v>28</v>
          </cell>
          <cell r="P172">
            <v>112000</v>
          </cell>
        </row>
        <row r="173">
          <cell r="A173">
            <v>3</v>
          </cell>
          <cell r="B173" t="str">
            <v xml:space="preserve">    3/C   8 sq.mm </v>
          </cell>
          <cell r="C173">
            <v>3000</v>
          </cell>
          <cell r="D173" t="str">
            <v>M</v>
          </cell>
          <cell r="E173">
            <v>29</v>
          </cell>
          <cell r="F173">
            <v>87000</v>
          </cell>
          <cell r="G173">
            <v>0</v>
          </cell>
          <cell r="H173">
            <v>0</v>
          </cell>
          <cell r="I173">
            <v>0.11799999999999999</v>
          </cell>
          <cell r="J173">
            <v>354</v>
          </cell>
          <cell r="K173">
            <v>29</v>
          </cell>
          <cell r="L173">
            <v>87000</v>
          </cell>
          <cell r="M173">
            <v>0</v>
          </cell>
          <cell r="N173">
            <v>0</v>
          </cell>
          <cell r="O173">
            <v>33</v>
          </cell>
          <cell r="P173">
            <v>99000</v>
          </cell>
        </row>
        <row r="174">
          <cell r="A174">
            <v>4</v>
          </cell>
          <cell r="B174" t="str">
            <v xml:space="preserve">    3/C  14 sq.mm </v>
          </cell>
          <cell r="C174">
            <v>1000</v>
          </cell>
          <cell r="D174" t="str">
            <v>M</v>
          </cell>
          <cell r="E174">
            <v>47</v>
          </cell>
          <cell r="F174">
            <v>47000</v>
          </cell>
          <cell r="G174">
            <v>0</v>
          </cell>
          <cell r="H174">
            <v>0</v>
          </cell>
          <cell r="I174">
            <v>0.152</v>
          </cell>
          <cell r="J174">
            <v>152</v>
          </cell>
          <cell r="K174">
            <v>47</v>
          </cell>
          <cell r="L174">
            <v>47000</v>
          </cell>
          <cell r="M174">
            <v>0</v>
          </cell>
          <cell r="N174">
            <v>0</v>
          </cell>
          <cell r="O174">
            <v>43</v>
          </cell>
          <cell r="P174">
            <v>43000</v>
          </cell>
        </row>
        <row r="175">
          <cell r="A175">
            <v>5</v>
          </cell>
          <cell r="B175" t="str">
            <v xml:space="preserve">    3/C  22 sq.mm </v>
          </cell>
          <cell r="C175">
            <v>3000</v>
          </cell>
          <cell r="D175" t="str">
            <v>M</v>
          </cell>
          <cell r="E175">
            <v>70</v>
          </cell>
          <cell r="F175">
            <v>210000</v>
          </cell>
          <cell r="G175">
            <v>0</v>
          </cell>
          <cell r="H175">
            <v>0</v>
          </cell>
          <cell r="I175">
            <v>0.18099999999999999</v>
          </cell>
          <cell r="J175">
            <v>543</v>
          </cell>
          <cell r="K175">
            <v>70</v>
          </cell>
          <cell r="L175">
            <v>210000</v>
          </cell>
          <cell r="M175">
            <v>0</v>
          </cell>
          <cell r="N175">
            <v>0</v>
          </cell>
          <cell r="O175">
            <v>51</v>
          </cell>
          <cell r="P175">
            <v>153000</v>
          </cell>
        </row>
        <row r="176">
          <cell r="A176">
            <v>6</v>
          </cell>
          <cell r="B176" t="str">
            <v xml:space="preserve">    3/C  38 sq.mm </v>
          </cell>
          <cell r="C176">
            <v>3000</v>
          </cell>
          <cell r="D176" t="str">
            <v>M</v>
          </cell>
          <cell r="E176">
            <v>111</v>
          </cell>
          <cell r="F176">
            <v>333000</v>
          </cell>
          <cell r="G176">
            <v>0</v>
          </cell>
          <cell r="H176">
            <v>0</v>
          </cell>
          <cell r="I176">
            <v>0.23</v>
          </cell>
          <cell r="J176">
            <v>690</v>
          </cell>
          <cell r="K176">
            <v>111</v>
          </cell>
          <cell r="L176">
            <v>333000</v>
          </cell>
          <cell r="M176">
            <v>0</v>
          </cell>
          <cell r="N176">
            <v>0</v>
          </cell>
          <cell r="O176">
            <v>64</v>
          </cell>
          <cell r="P176">
            <v>192000</v>
          </cell>
        </row>
        <row r="177">
          <cell r="A177">
            <v>7</v>
          </cell>
          <cell r="B177" t="str">
            <v xml:space="preserve">    3/C  60 sq.mm </v>
          </cell>
          <cell r="C177">
            <v>7200</v>
          </cell>
          <cell r="D177" t="str">
            <v>M</v>
          </cell>
          <cell r="E177">
            <v>177</v>
          </cell>
          <cell r="F177">
            <v>1274400</v>
          </cell>
          <cell r="G177">
            <v>0</v>
          </cell>
          <cell r="H177">
            <v>0</v>
          </cell>
          <cell r="I177">
            <v>0.27700000000000002</v>
          </cell>
          <cell r="J177">
            <v>1994</v>
          </cell>
          <cell r="K177">
            <v>177</v>
          </cell>
          <cell r="L177">
            <v>1274400</v>
          </cell>
          <cell r="M177">
            <v>0</v>
          </cell>
          <cell r="N177">
            <v>0</v>
          </cell>
          <cell r="O177">
            <v>78</v>
          </cell>
          <cell r="P177">
            <v>561600</v>
          </cell>
        </row>
        <row r="178">
          <cell r="A178">
            <v>8</v>
          </cell>
          <cell r="B178" t="str">
            <v xml:space="preserve">    1/C 100 sq.mm </v>
          </cell>
          <cell r="C178">
            <v>2000</v>
          </cell>
          <cell r="D178" t="str">
            <v>M</v>
          </cell>
          <cell r="E178">
            <v>92</v>
          </cell>
          <cell r="F178">
            <v>184000</v>
          </cell>
          <cell r="G178">
            <v>0</v>
          </cell>
          <cell r="H178">
            <v>0</v>
          </cell>
          <cell r="I178">
            <v>0.17599999999999999</v>
          </cell>
          <cell r="J178">
            <v>352</v>
          </cell>
          <cell r="K178">
            <v>92</v>
          </cell>
          <cell r="L178">
            <v>184000</v>
          </cell>
          <cell r="M178">
            <v>0</v>
          </cell>
          <cell r="N178">
            <v>0</v>
          </cell>
          <cell r="O178">
            <v>49</v>
          </cell>
          <cell r="P178">
            <v>98000</v>
          </cell>
        </row>
        <row r="179">
          <cell r="A179">
            <v>9</v>
          </cell>
          <cell r="B179" t="str">
            <v xml:space="preserve">    1/C 150 sq.mm </v>
          </cell>
          <cell r="C179">
            <v>16500</v>
          </cell>
          <cell r="D179" t="str">
            <v>M</v>
          </cell>
          <cell r="E179">
            <v>137</v>
          </cell>
          <cell r="F179">
            <v>2260500</v>
          </cell>
          <cell r="G179">
            <v>0</v>
          </cell>
          <cell r="H179">
            <v>0</v>
          </cell>
          <cell r="I179">
            <v>0.20499999999999999</v>
          </cell>
          <cell r="J179">
            <v>3383</v>
          </cell>
          <cell r="K179">
            <v>137</v>
          </cell>
          <cell r="L179">
            <v>2260500</v>
          </cell>
          <cell r="M179">
            <v>0</v>
          </cell>
          <cell r="N179">
            <v>0</v>
          </cell>
          <cell r="O179">
            <v>57</v>
          </cell>
          <cell r="P179">
            <v>940500</v>
          </cell>
        </row>
        <row r="180">
          <cell r="A180">
            <v>10</v>
          </cell>
          <cell r="B180" t="str">
            <v xml:space="preserve">    1/C 250 sq.mm </v>
          </cell>
          <cell r="C180">
            <v>15000</v>
          </cell>
          <cell r="D180" t="str">
            <v>M</v>
          </cell>
          <cell r="E180">
            <v>223</v>
          </cell>
          <cell r="F180">
            <v>3345000</v>
          </cell>
          <cell r="G180">
            <v>0</v>
          </cell>
          <cell r="H180">
            <v>0</v>
          </cell>
          <cell r="I180">
            <v>0.247</v>
          </cell>
          <cell r="J180">
            <v>3705</v>
          </cell>
          <cell r="K180">
            <v>223</v>
          </cell>
          <cell r="L180">
            <v>3345000</v>
          </cell>
          <cell r="M180">
            <v>0</v>
          </cell>
          <cell r="N180">
            <v>0</v>
          </cell>
          <cell r="O180">
            <v>69</v>
          </cell>
          <cell r="P180">
            <v>1035000</v>
          </cell>
        </row>
        <row r="181">
          <cell r="A181">
            <v>11</v>
          </cell>
          <cell r="B181" t="str">
            <v xml:space="preserve">    1/C 325 sq.mm </v>
          </cell>
          <cell r="C181">
            <v>16500</v>
          </cell>
          <cell r="D181" t="str">
            <v>M</v>
          </cell>
          <cell r="E181">
            <v>279</v>
          </cell>
          <cell r="F181">
            <v>4603500</v>
          </cell>
          <cell r="G181">
            <v>0</v>
          </cell>
          <cell r="H181">
            <v>0</v>
          </cell>
          <cell r="I181">
            <v>0.27</v>
          </cell>
          <cell r="J181">
            <v>4455</v>
          </cell>
          <cell r="K181">
            <v>279</v>
          </cell>
          <cell r="L181">
            <v>4603500</v>
          </cell>
          <cell r="M181">
            <v>0</v>
          </cell>
          <cell r="N181">
            <v>0</v>
          </cell>
          <cell r="O181">
            <v>76</v>
          </cell>
          <cell r="P181">
            <v>1254000</v>
          </cell>
        </row>
        <row r="182">
          <cell r="A182">
            <v>12</v>
          </cell>
          <cell r="B182" t="str">
            <v xml:space="preserve">    4/C 5.5 sq.mm </v>
          </cell>
          <cell r="C182">
            <v>300</v>
          </cell>
          <cell r="D182" t="str">
            <v>M</v>
          </cell>
          <cell r="E182">
            <v>28</v>
          </cell>
          <cell r="F182">
            <v>8400</v>
          </cell>
          <cell r="G182">
            <v>0</v>
          </cell>
          <cell r="H182">
            <v>0</v>
          </cell>
          <cell r="I182">
            <v>0.11700000000000001</v>
          </cell>
          <cell r="J182">
            <v>35</v>
          </cell>
          <cell r="K182">
            <v>28</v>
          </cell>
          <cell r="L182">
            <v>8400</v>
          </cell>
          <cell r="M182">
            <v>0</v>
          </cell>
          <cell r="N182">
            <v>0</v>
          </cell>
          <cell r="O182">
            <v>33</v>
          </cell>
          <cell r="P182">
            <v>9900</v>
          </cell>
        </row>
        <row r="183">
          <cell r="A183">
            <v>13</v>
          </cell>
          <cell r="B183" t="str">
            <v xml:space="preserve">    4/C 60 sq.mm </v>
          </cell>
          <cell r="C183">
            <v>300</v>
          </cell>
          <cell r="D183" t="str">
            <v>M</v>
          </cell>
          <cell r="E183">
            <v>232</v>
          </cell>
          <cell r="F183">
            <v>69600</v>
          </cell>
          <cell r="G183">
            <v>0</v>
          </cell>
          <cell r="H183">
            <v>0</v>
          </cell>
          <cell r="I183">
            <v>0.32500000000000001</v>
          </cell>
          <cell r="J183">
            <v>98</v>
          </cell>
          <cell r="K183">
            <v>232</v>
          </cell>
          <cell r="L183">
            <v>69600</v>
          </cell>
          <cell r="M183">
            <v>0</v>
          </cell>
          <cell r="N183">
            <v>0</v>
          </cell>
          <cell r="O183">
            <v>91</v>
          </cell>
          <cell r="P183">
            <v>27300</v>
          </cell>
        </row>
        <row r="184"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</row>
        <row r="185">
          <cell r="B185" t="str">
            <v xml:space="preserve"> 600V CONTROL CABLE, PVC INSU. PVC JACKET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A186">
            <v>14</v>
          </cell>
          <cell r="B186" t="str">
            <v xml:space="preserve">    4/C 2.0 sq.mm </v>
          </cell>
          <cell r="C186">
            <v>13000</v>
          </cell>
          <cell r="D186" t="str">
            <v>M</v>
          </cell>
          <cell r="E186">
            <v>11</v>
          </cell>
          <cell r="F186">
            <v>143000</v>
          </cell>
          <cell r="G186">
            <v>0</v>
          </cell>
          <cell r="H186">
            <v>0</v>
          </cell>
          <cell r="I186">
            <v>0.08</v>
          </cell>
          <cell r="J186">
            <v>1040</v>
          </cell>
          <cell r="K186">
            <v>11</v>
          </cell>
          <cell r="L186">
            <v>143000</v>
          </cell>
          <cell r="M186">
            <v>0</v>
          </cell>
          <cell r="N186">
            <v>0</v>
          </cell>
          <cell r="O186">
            <v>22</v>
          </cell>
          <cell r="P186">
            <v>286000</v>
          </cell>
        </row>
        <row r="187">
          <cell r="A187">
            <v>15</v>
          </cell>
          <cell r="B187" t="str">
            <v xml:space="preserve">    7/C 2.0 sq.mm </v>
          </cell>
          <cell r="C187">
            <v>6400</v>
          </cell>
          <cell r="D187" t="str">
            <v>M</v>
          </cell>
          <cell r="E187">
            <v>24</v>
          </cell>
          <cell r="F187">
            <v>153600</v>
          </cell>
          <cell r="G187">
            <v>0</v>
          </cell>
          <cell r="H187">
            <v>0</v>
          </cell>
          <cell r="I187">
            <v>0.105</v>
          </cell>
          <cell r="J187">
            <v>672</v>
          </cell>
          <cell r="K187">
            <v>24</v>
          </cell>
          <cell r="L187">
            <v>153600</v>
          </cell>
          <cell r="M187">
            <v>0</v>
          </cell>
          <cell r="N187">
            <v>0</v>
          </cell>
          <cell r="O187">
            <v>29</v>
          </cell>
          <cell r="P187">
            <v>185600</v>
          </cell>
        </row>
        <row r="188">
          <cell r="A188">
            <v>16</v>
          </cell>
          <cell r="B188" t="str">
            <v xml:space="preserve">    9/C 2.0 sq.mm </v>
          </cell>
          <cell r="C188">
            <v>4000</v>
          </cell>
          <cell r="D188" t="str">
            <v>M</v>
          </cell>
          <cell r="E188">
            <v>30</v>
          </cell>
          <cell r="F188">
            <v>120000</v>
          </cell>
          <cell r="G188">
            <v>0</v>
          </cell>
          <cell r="H188">
            <v>0</v>
          </cell>
          <cell r="I188">
            <v>0.12</v>
          </cell>
          <cell r="J188">
            <v>480</v>
          </cell>
          <cell r="K188">
            <v>30</v>
          </cell>
          <cell r="L188">
            <v>120000</v>
          </cell>
          <cell r="M188">
            <v>0</v>
          </cell>
          <cell r="N188">
            <v>0</v>
          </cell>
          <cell r="O188">
            <v>34</v>
          </cell>
          <cell r="P188">
            <v>136000</v>
          </cell>
        </row>
        <row r="189">
          <cell r="A189">
            <v>17</v>
          </cell>
          <cell r="B189" t="str">
            <v xml:space="preserve">   12/C 2.0 sq.mm </v>
          </cell>
          <cell r="C189">
            <v>2500</v>
          </cell>
          <cell r="D189" t="str">
            <v>M</v>
          </cell>
          <cell r="E189">
            <v>38</v>
          </cell>
          <cell r="F189">
            <v>95000</v>
          </cell>
          <cell r="G189">
            <v>0</v>
          </cell>
          <cell r="H189">
            <v>0</v>
          </cell>
          <cell r="I189">
            <v>0.13800000000000001</v>
          </cell>
          <cell r="J189">
            <v>345</v>
          </cell>
          <cell r="K189">
            <v>38</v>
          </cell>
          <cell r="L189">
            <v>95000</v>
          </cell>
          <cell r="M189">
            <v>0</v>
          </cell>
          <cell r="N189">
            <v>0</v>
          </cell>
          <cell r="O189">
            <v>39</v>
          </cell>
          <cell r="P189">
            <v>97500</v>
          </cell>
        </row>
        <row r="190">
          <cell r="A190">
            <v>18</v>
          </cell>
          <cell r="B190" t="str">
            <v xml:space="preserve">   19/C 2.0 sq.mm </v>
          </cell>
          <cell r="C190">
            <v>1950</v>
          </cell>
          <cell r="D190" t="str">
            <v>M</v>
          </cell>
          <cell r="E190">
            <v>57</v>
          </cell>
          <cell r="F190">
            <v>111150</v>
          </cell>
          <cell r="G190">
            <v>0</v>
          </cell>
          <cell r="H190">
            <v>0</v>
          </cell>
          <cell r="I190">
            <v>0.17399999999999999</v>
          </cell>
          <cell r="J190">
            <v>339</v>
          </cell>
          <cell r="K190">
            <v>57</v>
          </cell>
          <cell r="L190">
            <v>111150</v>
          </cell>
          <cell r="M190">
            <v>0</v>
          </cell>
          <cell r="N190">
            <v>0</v>
          </cell>
          <cell r="O190">
            <v>49</v>
          </cell>
          <cell r="P190">
            <v>95550</v>
          </cell>
        </row>
        <row r="191">
          <cell r="A191">
            <v>19</v>
          </cell>
          <cell r="B191" t="str">
            <v xml:space="preserve">   30/C 2.0 sq.mm </v>
          </cell>
          <cell r="C191">
            <v>1900</v>
          </cell>
          <cell r="D191" t="str">
            <v>M</v>
          </cell>
          <cell r="E191">
            <v>92</v>
          </cell>
          <cell r="F191">
            <v>174800</v>
          </cell>
          <cell r="G191">
            <v>0</v>
          </cell>
          <cell r="H191">
            <v>0</v>
          </cell>
          <cell r="I191">
            <v>0.21199999999999999</v>
          </cell>
          <cell r="J191">
            <v>403</v>
          </cell>
          <cell r="K191">
            <v>92</v>
          </cell>
          <cell r="L191">
            <v>174800</v>
          </cell>
          <cell r="M191">
            <v>0</v>
          </cell>
          <cell r="N191">
            <v>0</v>
          </cell>
          <cell r="O191">
            <v>59</v>
          </cell>
          <cell r="P191">
            <v>112100</v>
          </cell>
        </row>
        <row r="192">
          <cell r="A192">
            <v>20</v>
          </cell>
          <cell r="B192" t="str">
            <v>600V SHIELDED CABLE, 8P-#14AWG</v>
          </cell>
          <cell r="C192">
            <v>300</v>
          </cell>
          <cell r="D192" t="str">
            <v>M</v>
          </cell>
          <cell r="E192">
            <v>83</v>
          </cell>
          <cell r="F192">
            <v>24900</v>
          </cell>
          <cell r="G192">
            <v>0</v>
          </cell>
          <cell r="H192">
            <v>0</v>
          </cell>
          <cell r="I192">
            <v>0.16</v>
          </cell>
          <cell r="J192">
            <v>48</v>
          </cell>
          <cell r="K192">
            <v>83</v>
          </cell>
          <cell r="L192">
            <v>24900</v>
          </cell>
          <cell r="M192">
            <v>0</v>
          </cell>
          <cell r="N192">
            <v>0</v>
          </cell>
          <cell r="O192">
            <v>45</v>
          </cell>
          <cell r="P192">
            <v>13500</v>
          </cell>
        </row>
        <row r="193"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</row>
        <row r="194">
          <cell r="B194" t="str">
            <v>8KV POWER CABLE, XLPE INSU. PVC JACKET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</row>
        <row r="195">
          <cell r="A195">
            <v>21</v>
          </cell>
          <cell r="B195" t="str">
            <v xml:space="preserve">    3/C  38 sq.mm </v>
          </cell>
          <cell r="C195">
            <v>880</v>
          </cell>
          <cell r="D195" t="str">
            <v>M</v>
          </cell>
          <cell r="E195">
            <v>268</v>
          </cell>
          <cell r="F195">
            <v>235840</v>
          </cell>
          <cell r="G195">
            <v>0</v>
          </cell>
          <cell r="H195">
            <v>0</v>
          </cell>
          <cell r="I195">
            <v>0.32100000000000001</v>
          </cell>
          <cell r="J195">
            <v>282</v>
          </cell>
          <cell r="K195">
            <v>268</v>
          </cell>
          <cell r="L195">
            <v>235840</v>
          </cell>
          <cell r="M195">
            <v>0</v>
          </cell>
          <cell r="N195">
            <v>0</v>
          </cell>
          <cell r="O195">
            <v>90</v>
          </cell>
          <cell r="P195">
            <v>79200</v>
          </cell>
        </row>
        <row r="196">
          <cell r="A196">
            <v>22</v>
          </cell>
          <cell r="B196" t="str">
            <v xml:space="preserve">    3/C  60 sq.mm </v>
          </cell>
          <cell r="C196">
            <v>200</v>
          </cell>
          <cell r="D196" t="str">
            <v>M</v>
          </cell>
          <cell r="E196">
            <v>367</v>
          </cell>
          <cell r="F196">
            <v>73400</v>
          </cell>
          <cell r="G196">
            <v>0</v>
          </cell>
          <cell r="H196">
            <v>0</v>
          </cell>
          <cell r="I196">
            <v>0.38800000000000001</v>
          </cell>
          <cell r="J196">
            <v>78</v>
          </cell>
          <cell r="K196">
            <v>367</v>
          </cell>
          <cell r="L196">
            <v>73400</v>
          </cell>
          <cell r="M196">
            <v>0</v>
          </cell>
          <cell r="N196">
            <v>0</v>
          </cell>
          <cell r="O196">
            <v>109</v>
          </cell>
          <cell r="P196">
            <v>21800</v>
          </cell>
        </row>
        <row r="197">
          <cell r="A197">
            <v>23</v>
          </cell>
          <cell r="B197" t="str">
            <v xml:space="preserve">    1/C 100 sq.mm </v>
          </cell>
          <cell r="C197">
            <v>4800</v>
          </cell>
          <cell r="D197" t="str">
            <v>M</v>
          </cell>
          <cell r="E197">
            <v>148</v>
          </cell>
          <cell r="F197">
            <v>710400</v>
          </cell>
          <cell r="G197">
            <v>0</v>
          </cell>
          <cell r="H197">
            <v>0</v>
          </cell>
          <cell r="I197">
            <v>0.22500000000000001</v>
          </cell>
          <cell r="J197">
            <v>1080</v>
          </cell>
          <cell r="K197">
            <v>148</v>
          </cell>
          <cell r="L197">
            <v>710400</v>
          </cell>
          <cell r="M197">
            <v>0</v>
          </cell>
          <cell r="N197">
            <v>0</v>
          </cell>
          <cell r="O197">
            <v>63</v>
          </cell>
          <cell r="P197">
            <v>302400</v>
          </cell>
        </row>
        <row r="198">
          <cell r="A198">
            <v>24</v>
          </cell>
          <cell r="B198" t="str">
            <v xml:space="preserve">    1/C 200 sq.mm </v>
          </cell>
          <cell r="C198">
            <v>1000</v>
          </cell>
          <cell r="D198" t="str">
            <v>M</v>
          </cell>
          <cell r="E198">
            <v>246</v>
          </cell>
          <cell r="F198">
            <v>246000</v>
          </cell>
          <cell r="G198">
            <v>0</v>
          </cell>
          <cell r="H198">
            <v>0</v>
          </cell>
          <cell r="I198">
            <v>0.28699999999999998</v>
          </cell>
          <cell r="J198">
            <v>287</v>
          </cell>
          <cell r="K198">
            <v>246</v>
          </cell>
          <cell r="L198">
            <v>246000</v>
          </cell>
          <cell r="M198">
            <v>0</v>
          </cell>
          <cell r="N198">
            <v>0</v>
          </cell>
          <cell r="O198">
            <v>80</v>
          </cell>
          <cell r="P198">
            <v>80000</v>
          </cell>
        </row>
        <row r="199">
          <cell r="A199">
            <v>25</v>
          </cell>
          <cell r="B199" t="str">
            <v xml:space="preserve">    1/C 250 sq.mm </v>
          </cell>
          <cell r="C199">
            <v>17500</v>
          </cell>
          <cell r="D199" t="str">
            <v>M</v>
          </cell>
          <cell r="E199">
            <v>306</v>
          </cell>
          <cell r="F199">
            <v>5355000</v>
          </cell>
          <cell r="G199">
            <v>0</v>
          </cell>
          <cell r="H199">
            <v>0</v>
          </cell>
          <cell r="I199">
            <v>0.27400000000000002</v>
          </cell>
          <cell r="J199">
            <v>4795</v>
          </cell>
          <cell r="K199">
            <v>306</v>
          </cell>
          <cell r="L199">
            <v>5355000</v>
          </cell>
          <cell r="M199">
            <v>0</v>
          </cell>
          <cell r="N199">
            <v>0</v>
          </cell>
          <cell r="O199">
            <v>77</v>
          </cell>
          <cell r="P199">
            <v>1347500</v>
          </cell>
        </row>
        <row r="200">
          <cell r="B200" t="str">
            <v xml:space="preserve"> WEATHER PROOF, NEMA-4X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</row>
        <row r="201">
          <cell r="B201" t="str">
            <v>8KV TERMINATION KIT, HEAT SHRINKABLE TYPE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</row>
        <row r="202">
          <cell r="A202">
            <v>26</v>
          </cell>
          <cell r="B202" t="str">
            <v xml:space="preserve">    3/C  38 sq.mm </v>
          </cell>
          <cell r="C202">
            <v>8</v>
          </cell>
          <cell r="D202" t="str">
            <v>SET</v>
          </cell>
          <cell r="E202">
            <v>4330</v>
          </cell>
          <cell r="F202">
            <v>34640</v>
          </cell>
          <cell r="G202">
            <v>0</v>
          </cell>
          <cell r="H202">
            <v>0</v>
          </cell>
          <cell r="I202">
            <v>5</v>
          </cell>
          <cell r="J202">
            <v>40</v>
          </cell>
          <cell r="K202">
            <v>4330</v>
          </cell>
          <cell r="L202">
            <v>34640</v>
          </cell>
          <cell r="M202">
            <v>0</v>
          </cell>
          <cell r="N202">
            <v>0</v>
          </cell>
          <cell r="O202">
            <v>1400</v>
          </cell>
          <cell r="P202">
            <v>11200</v>
          </cell>
        </row>
        <row r="203">
          <cell r="A203">
            <v>27</v>
          </cell>
          <cell r="B203" t="str">
            <v xml:space="preserve">    3/C  60 sq.mm </v>
          </cell>
          <cell r="C203">
            <v>10</v>
          </cell>
          <cell r="D203" t="str">
            <v>SET</v>
          </cell>
          <cell r="E203">
            <v>4330</v>
          </cell>
          <cell r="F203">
            <v>43300</v>
          </cell>
          <cell r="G203">
            <v>0</v>
          </cell>
          <cell r="H203">
            <v>0</v>
          </cell>
          <cell r="I203">
            <v>6</v>
          </cell>
          <cell r="J203">
            <v>60</v>
          </cell>
          <cell r="K203">
            <v>4330</v>
          </cell>
          <cell r="L203">
            <v>43300</v>
          </cell>
          <cell r="M203">
            <v>0</v>
          </cell>
          <cell r="N203">
            <v>0</v>
          </cell>
          <cell r="O203">
            <v>1680</v>
          </cell>
          <cell r="P203">
            <v>16800</v>
          </cell>
        </row>
        <row r="204">
          <cell r="A204">
            <v>28</v>
          </cell>
          <cell r="B204" t="str">
            <v xml:space="preserve">   1/C 100 sq.mm </v>
          </cell>
          <cell r="C204">
            <v>30</v>
          </cell>
          <cell r="D204" t="str">
            <v>SET</v>
          </cell>
          <cell r="E204">
            <v>1170</v>
          </cell>
          <cell r="F204">
            <v>35100</v>
          </cell>
          <cell r="G204">
            <v>0</v>
          </cell>
          <cell r="H204">
            <v>0</v>
          </cell>
          <cell r="I204">
            <v>3.5</v>
          </cell>
          <cell r="J204">
            <v>105</v>
          </cell>
          <cell r="K204">
            <v>1170</v>
          </cell>
          <cell r="L204">
            <v>35100</v>
          </cell>
          <cell r="M204">
            <v>0</v>
          </cell>
          <cell r="N204">
            <v>0</v>
          </cell>
          <cell r="O204">
            <v>980</v>
          </cell>
          <cell r="P204">
            <v>29400</v>
          </cell>
        </row>
        <row r="205">
          <cell r="A205">
            <v>29</v>
          </cell>
          <cell r="B205" t="str">
            <v xml:space="preserve">    1/C 200 sq.mm </v>
          </cell>
          <cell r="C205">
            <v>9</v>
          </cell>
          <cell r="D205" t="str">
            <v>SET</v>
          </cell>
          <cell r="E205">
            <v>1550</v>
          </cell>
          <cell r="F205">
            <v>13950</v>
          </cell>
          <cell r="G205">
            <v>0</v>
          </cell>
          <cell r="H205">
            <v>0</v>
          </cell>
          <cell r="I205">
            <v>4.5</v>
          </cell>
          <cell r="J205">
            <v>41</v>
          </cell>
          <cell r="K205">
            <v>1550</v>
          </cell>
          <cell r="L205">
            <v>13950</v>
          </cell>
          <cell r="M205">
            <v>0</v>
          </cell>
          <cell r="N205">
            <v>0</v>
          </cell>
          <cell r="O205">
            <v>1260</v>
          </cell>
          <cell r="P205">
            <v>11340</v>
          </cell>
        </row>
        <row r="206">
          <cell r="A206">
            <v>30</v>
          </cell>
          <cell r="B206" t="str">
            <v xml:space="preserve">    1/C 250 sq.mm </v>
          </cell>
          <cell r="C206">
            <v>40</v>
          </cell>
          <cell r="D206" t="str">
            <v>SET</v>
          </cell>
          <cell r="E206">
            <v>1585</v>
          </cell>
          <cell r="F206">
            <v>63400</v>
          </cell>
          <cell r="G206">
            <v>0</v>
          </cell>
          <cell r="H206">
            <v>0</v>
          </cell>
          <cell r="I206">
            <v>4.5</v>
          </cell>
          <cell r="J206">
            <v>180</v>
          </cell>
          <cell r="K206">
            <v>1585</v>
          </cell>
          <cell r="L206">
            <v>63400</v>
          </cell>
          <cell r="M206">
            <v>0</v>
          </cell>
          <cell r="N206">
            <v>0</v>
          </cell>
          <cell r="O206">
            <v>1260</v>
          </cell>
          <cell r="P206">
            <v>50400</v>
          </cell>
        </row>
        <row r="207"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</row>
        <row r="208">
          <cell r="B208" t="str">
            <v xml:space="preserve"> RSG CONDUIT WITH COUPLING, THICK WALL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</row>
        <row r="209">
          <cell r="B209" t="str">
            <v xml:space="preserve"> (ANSI C80.1 NPT THREADED)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</row>
        <row r="210">
          <cell r="A210">
            <v>31</v>
          </cell>
          <cell r="B210" t="str">
            <v xml:space="preserve">     1"</v>
          </cell>
          <cell r="C210">
            <v>800</v>
          </cell>
          <cell r="D210" t="str">
            <v>M</v>
          </cell>
          <cell r="E210">
            <v>49</v>
          </cell>
          <cell r="F210">
            <v>39200</v>
          </cell>
          <cell r="G210">
            <v>0</v>
          </cell>
          <cell r="H210">
            <v>0</v>
          </cell>
          <cell r="I210">
            <v>0.54</v>
          </cell>
          <cell r="J210">
            <v>432</v>
          </cell>
          <cell r="K210">
            <v>49</v>
          </cell>
          <cell r="L210">
            <v>39200</v>
          </cell>
          <cell r="M210">
            <v>0</v>
          </cell>
          <cell r="N210">
            <v>0</v>
          </cell>
          <cell r="O210">
            <v>151</v>
          </cell>
          <cell r="P210">
            <v>120800</v>
          </cell>
        </row>
        <row r="211">
          <cell r="A211">
            <v>32</v>
          </cell>
          <cell r="B211" t="str">
            <v xml:space="preserve">     2"</v>
          </cell>
          <cell r="C211">
            <v>1000</v>
          </cell>
          <cell r="D211" t="str">
            <v>M</v>
          </cell>
          <cell r="E211">
            <v>105</v>
          </cell>
          <cell r="F211">
            <v>105000</v>
          </cell>
          <cell r="G211">
            <v>0</v>
          </cell>
          <cell r="H211">
            <v>0</v>
          </cell>
          <cell r="I211">
            <v>0.98</v>
          </cell>
          <cell r="J211">
            <v>980</v>
          </cell>
          <cell r="K211">
            <v>105</v>
          </cell>
          <cell r="L211">
            <v>105000</v>
          </cell>
          <cell r="M211">
            <v>0</v>
          </cell>
          <cell r="N211">
            <v>0</v>
          </cell>
          <cell r="O211">
            <v>274</v>
          </cell>
          <cell r="P211">
            <v>274000</v>
          </cell>
        </row>
        <row r="212">
          <cell r="A212">
            <v>33</v>
          </cell>
          <cell r="B212" t="str">
            <v xml:space="preserve">     4"</v>
          </cell>
          <cell r="C212">
            <v>350</v>
          </cell>
          <cell r="D212" t="str">
            <v>M</v>
          </cell>
          <cell r="E212">
            <v>343</v>
          </cell>
          <cell r="F212">
            <v>120050</v>
          </cell>
          <cell r="G212">
            <v>0</v>
          </cell>
          <cell r="H212">
            <v>0</v>
          </cell>
          <cell r="I212">
            <v>1.85</v>
          </cell>
          <cell r="J212">
            <v>648</v>
          </cell>
          <cell r="K212">
            <v>343</v>
          </cell>
          <cell r="L212">
            <v>120050</v>
          </cell>
          <cell r="M212">
            <v>0</v>
          </cell>
          <cell r="N212">
            <v>0</v>
          </cell>
          <cell r="O212">
            <v>518</v>
          </cell>
          <cell r="P212">
            <v>181300</v>
          </cell>
        </row>
        <row r="213">
          <cell r="A213">
            <v>34</v>
          </cell>
          <cell r="B213" t="str">
            <v xml:space="preserve">     6"</v>
          </cell>
          <cell r="C213">
            <v>50</v>
          </cell>
          <cell r="D213" t="str">
            <v>M</v>
          </cell>
          <cell r="E213">
            <v>840</v>
          </cell>
          <cell r="F213">
            <v>42000</v>
          </cell>
          <cell r="G213">
            <v>0</v>
          </cell>
          <cell r="H213">
            <v>0</v>
          </cell>
          <cell r="I213">
            <v>2.72</v>
          </cell>
          <cell r="J213">
            <v>136</v>
          </cell>
          <cell r="K213">
            <v>840</v>
          </cell>
          <cell r="L213">
            <v>42000</v>
          </cell>
          <cell r="M213">
            <v>0</v>
          </cell>
          <cell r="N213">
            <v>0</v>
          </cell>
          <cell r="O213">
            <v>762</v>
          </cell>
          <cell r="P213">
            <v>38100</v>
          </cell>
        </row>
        <row r="214">
          <cell r="E214" t="str">
            <v xml:space="preserve"> 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</row>
        <row r="215">
          <cell r="B215" t="str">
            <v xml:space="preserve"> FLEXIBLE CONDUIT, LIQUID-TIGHT, UA TYPE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</row>
        <row r="216">
          <cell r="A216">
            <v>35</v>
          </cell>
          <cell r="B216" t="str">
            <v xml:space="preserve">     1", 0.6M LG., W/TWO CONNECTORS</v>
          </cell>
          <cell r="C216">
            <v>20</v>
          </cell>
          <cell r="D216" t="str">
            <v>M</v>
          </cell>
          <cell r="E216">
            <v>191</v>
          </cell>
          <cell r="F216">
            <v>3820</v>
          </cell>
          <cell r="G216">
            <v>0</v>
          </cell>
          <cell r="H216">
            <v>0</v>
          </cell>
          <cell r="I216">
            <v>0.64</v>
          </cell>
          <cell r="J216">
            <v>13</v>
          </cell>
          <cell r="K216">
            <v>191</v>
          </cell>
          <cell r="L216">
            <v>3820</v>
          </cell>
          <cell r="M216">
            <v>0</v>
          </cell>
          <cell r="N216">
            <v>0</v>
          </cell>
          <cell r="O216">
            <v>179</v>
          </cell>
          <cell r="P216">
            <v>3580</v>
          </cell>
        </row>
        <row r="217">
          <cell r="A217">
            <v>36</v>
          </cell>
          <cell r="B217" t="str">
            <v xml:space="preserve">    2", 0.6M LG., W/TWO CONNECTORS</v>
          </cell>
          <cell r="C217">
            <v>25</v>
          </cell>
          <cell r="D217" t="str">
            <v>M</v>
          </cell>
          <cell r="E217">
            <v>446</v>
          </cell>
          <cell r="F217">
            <v>11150</v>
          </cell>
          <cell r="G217">
            <v>0</v>
          </cell>
          <cell r="H217">
            <v>0</v>
          </cell>
          <cell r="I217">
            <v>1.1599999999999999</v>
          </cell>
          <cell r="J217">
            <v>29</v>
          </cell>
          <cell r="K217">
            <v>446</v>
          </cell>
          <cell r="L217">
            <v>11150</v>
          </cell>
          <cell r="M217">
            <v>0</v>
          </cell>
          <cell r="N217">
            <v>0</v>
          </cell>
          <cell r="O217">
            <v>325</v>
          </cell>
          <cell r="P217">
            <v>8125</v>
          </cell>
        </row>
        <row r="218">
          <cell r="A218">
            <v>37</v>
          </cell>
          <cell r="B218" t="str">
            <v xml:space="preserve">    4", 0.6M LG., W/TWO CONNECTORS</v>
          </cell>
          <cell r="C218">
            <v>20</v>
          </cell>
          <cell r="D218" t="str">
            <v>M</v>
          </cell>
          <cell r="E218">
            <v>1307</v>
          </cell>
          <cell r="F218">
            <v>26140</v>
          </cell>
          <cell r="G218">
            <v>0</v>
          </cell>
          <cell r="H218">
            <v>0</v>
          </cell>
          <cell r="I218">
            <v>2.08</v>
          </cell>
          <cell r="J218">
            <v>42</v>
          </cell>
          <cell r="K218">
            <v>1307</v>
          </cell>
          <cell r="L218">
            <v>26140</v>
          </cell>
          <cell r="M218">
            <v>0</v>
          </cell>
          <cell r="N218">
            <v>0</v>
          </cell>
          <cell r="O218">
            <v>582</v>
          </cell>
          <cell r="P218">
            <v>11640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</row>
        <row r="220">
          <cell r="A220">
            <v>38</v>
          </cell>
          <cell r="B220" t="str">
            <v xml:space="preserve"> HOT DIPPED GALVANIZED CONDUIT FITTING</v>
          </cell>
          <cell r="C220">
            <v>1</v>
          </cell>
          <cell r="D220" t="str">
            <v>LOT</v>
          </cell>
          <cell r="E220">
            <v>612500</v>
          </cell>
          <cell r="F220">
            <v>612500</v>
          </cell>
          <cell r="G220">
            <v>0</v>
          </cell>
          <cell r="H220">
            <v>0</v>
          </cell>
          <cell r="I220">
            <v>658.8</v>
          </cell>
          <cell r="J220">
            <v>659</v>
          </cell>
          <cell r="K220">
            <v>612500</v>
          </cell>
          <cell r="L220">
            <v>612500</v>
          </cell>
          <cell r="M220">
            <v>0</v>
          </cell>
          <cell r="N220">
            <v>0</v>
          </cell>
          <cell r="O220">
            <v>184464</v>
          </cell>
          <cell r="P220">
            <v>184464</v>
          </cell>
        </row>
        <row r="221">
          <cell r="B221" t="str">
            <v xml:space="preserve"> SEALING FITTING, UNION, CLAMP….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</row>
        <row r="222"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</row>
        <row r="223">
          <cell r="A223">
            <v>39</v>
          </cell>
          <cell r="B223" t="str">
            <v xml:space="preserve"> HOT DIPPED GALVANIZED STEEL SUPPORT, FOR CONDUIT</v>
          </cell>
          <cell r="C223">
            <v>1100</v>
          </cell>
          <cell r="D223" t="str">
            <v>KG</v>
          </cell>
          <cell r="E223">
            <v>20</v>
          </cell>
          <cell r="F223">
            <v>22000</v>
          </cell>
          <cell r="G223">
            <v>0</v>
          </cell>
          <cell r="H223">
            <v>0</v>
          </cell>
          <cell r="I223">
            <v>0.15</v>
          </cell>
          <cell r="J223">
            <v>165</v>
          </cell>
          <cell r="K223">
            <v>20</v>
          </cell>
          <cell r="L223">
            <v>22000</v>
          </cell>
          <cell r="M223">
            <v>0</v>
          </cell>
          <cell r="N223">
            <v>0</v>
          </cell>
          <cell r="O223">
            <v>42</v>
          </cell>
          <cell r="P223">
            <v>46200</v>
          </cell>
        </row>
        <row r="224"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</row>
        <row r="225">
          <cell r="A225">
            <v>40</v>
          </cell>
          <cell r="B225" t="str">
            <v xml:space="preserve"> PUSH BUTTON  STATION, "START-STOP" TYPE,</v>
          </cell>
          <cell r="C225">
            <v>20</v>
          </cell>
          <cell r="D225" t="str">
            <v>SET</v>
          </cell>
          <cell r="E225">
            <v>3600</v>
          </cell>
          <cell r="F225">
            <v>72000</v>
          </cell>
          <cell r="G225">
            <v>0</v>
          </cell>
          <cell r="H225">
            <v>0</v>
          </cell>
          <cell r="I225">
            <v>6</v>
          </cell>
          <cell r="J225">
            <v>120</v>
          </cell>
          <cell r="K225">
            <v>3600</v>
          </cell>
          <cell r="L225">
            <v>72000</v>
          </cell>
          <cell r="M225">
            <v>0</v>
          </cell>
          <cell r="N225">
            <v>0</v>
          </cell>
          <cell r="O225">
            <v>1680</v>
          </cell>
          <cell r="P225">
            <v>33600</v>
          </cell>
        </row>
        <row r="226">
          <cell r="B226" t="str">
            <v xml:space="preserve"> FOR CLASS 1, DIV. 2 GROUP D, NEMA-4X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</row>
        <row r="227"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</row>
        <row r="228">
          <cell r="A228">
            <v>41</v>
          </cell>
          <cell r="B228" t="str">
            <v xml:space="preserve"> PUSH BUTTON  STATION, "START-STOP" TYPE, WITH LAMP x 1PC</v>
          </cell>
          <cell r="C228">
            <v>12</v>
          </cell>
          <cell r="D228" t="str">
            <v>SET</v>
          </cell>
          <cell r="E228">
            <v>6800</v>
          </cell>
          <cell r="F228">
            <v>81600</v>
          </cell>
          <cell r="G228">
            <v>0</v>
          </cell>
          <cell r="H228">
            <v>0</v>
          </cell>
          <cell r="I228">
            <v>7</v>
          </cell>
          <cell r="J228">
            <v>84</v>
          </cell>
          <cell r="K228">
            <v>6800</v>
          </cell>
          <cell r="L228">
            <v>81600</v>
          </cell>
          <cell r="M228">
            <v>0</v>
          </cell>
          <cell r="N228">
            <v>0</v>
          </cell>
          <cell r="O228">
            <v>1960</v>
          </cell>
          <cell r="P228">
            <v>23520</v>
          </cell>
        </row>
        <row r="229">
          <cell r="B229" t="str">
            <v xml:space="preserve"> FOR CLASS 1, DIV. 2 GROUP D, NEMA-4X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5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</row>
        <row r="231">
          <cell r="A231">
            <v>42</v>
          </cell>
          <cell r="B231" t="str">
            <v xml:space="preserve"> PUSH BUTTON  STATION, "START-STOP" TYPE,</v>
          </cell>
          <cell r="C231">
            <v>20</v>
          </cell>
          <cell r="D231" t="str">
            <v>SET</v>
          </cell>
          <cell r="E231">
            <v>2800</v>
          </cell>
          <cell r="F231">
            <v>56000</v>
          </cell>
          <cell r="G231">
            <v>0</v>
          </cell>
          <cell r="H231">
            <v>0</v>
          </cell>
          <cell r="I231">
            <v>5</v>
          </cell>
          <cell r="J231">
            <v>100</v>
          </cell>
          <cell r="K231">
            <v>2800</v>
          </cell>
          <cell r="L231">
            <v>56000</v>
          </cell>
          <cell r="M231">
            <v>0</v>
          </cell>
          <cell r="N231">
            <v>0</v>
          </cell>
          <cell r="O231">
            <v>1400</v>
          </cell>
          <cell r="P231">
            <v>28000</v>
          </cell>
        </row>
        <row r="232">
          <cell r="B232" t="str">
            <v xml:space="preserve"> WEATHER PROOF, NEMA-4X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</row>
        <row r="234">
          <cell r="A234">
            <v>43</v>
          </cell>
          <cell r="B234" t="str">
            <v xml:space="preserve"> HOT DIPPED GALVANIZED STEEL SUPPORT, </v>
          </cell>
          <cell r="C234">
            <v>780</v>
          </cell>
          <cell r="D234" t="str">
            <v>KG</v>
          </cell>
          <cell r="E234">
            <v>20</v>
          </cell>
          <cell r="F234">
            <v>15600</v>
          </cell>
          <cell r="G234">
            <v>0</v>
          </cell>
          <cell r="H234">
            <v>0</v>
          </cell>
          <cell r="I234">
            <v>0.15</v>
          </cell>
          <cell r="J234">
            <v>117</v>
          </cell>
          <cell r="K234">
            <v>20</v>
          </cell>
          <cell r="L234">
            <v>15600</v>
          </cell>
          <cell r="M234">
            <v>0</v>
          </cell>
          <cell r="N234">
            <v>0</v>
          </cell>
          <cell r="O234">
            <v>42</v>
          </cell>
          <cell r="P234">
            <v>32760</v>
          </cell>
        </row>
        <row r="235">
          <cell r="B235" t="str">
            <v xml:space="preserve"> 1.5M(H) X 52SET FOR PUSH BUTTON STATION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</row>
        <row r="237">
          <cell r="A237">
            <v>44</v>
          </cell>
          <cell r="B237" t="str">
            <v>SMALL FOUNDATION FOR PUSH BUTTON STATION</v>
          </cell>
          <cell r="C237">
            <v>52</v>
          </cell>
          <cell r="D237" t="str">
            <v>SET</v>
          </cell>
          <cell r="E237">
            <v>1000</v>
          </cell>
          <cell r="F237">
            <v>52000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1000</v>
          </cell>
          <cell r="L237">
            <v>52000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</row>
        <row r="238"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</row>
        <row r="239">
          <cell r="B239" t="str">
            <v xml:space="preserve"> CABLE TRAY, LADDER TYPE H.D. GALV. STEEL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</row>
        <row r="240">
          <cell r="B240" t="str">
            <v xml:space="preserve"> W/ ANODIC TREATMENT &amp; EXPOSY COATING(50u)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</row>
        <row r="241">
          <cell r="B241" t="str">
            <v xml:space="preserve"> STRAIGHT SECTION, 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</row>
        <row r="242">
          <cell r="A242">
            <v>45</v>
          </cell>
          <cell r="B242" t="str">
            <v xml:space="preserve"> 300 mm  WIDE x 100 mm H</v>
          </cell>
          <cell r="C242">
            <v>230</v>
          </cell>
          <cell r="D242" t="str">
            <v>M</v>
          </cell>
          <cell r="E242">
            <v>328</v>
          </cell>
          <cell r="F242">
            <v>75440</v>
          </cell>
          <cell r="G242">
            <v>0</v>
          </cell>
          <cell r="H242">
            <v>0</v>
          </cell>
          <cell r="I242">
            <v>0.74</v>
          </cell>
          <cell r="J242">
            <v>170</v>
          </cell>
          <cell r="K242">
            <v>328</v>
          </cell>
          <cell r="L242">
            <v>75440</v>
          </cell>
          <cell r="M242">
            <v>0</v>
          </cell>
          <cell r="N242">
            <v>0</v>
          </cell>
          <cell r="O242">
            <v>207</v>
          </cell>
          <cell r="P242">
            <v>47610</v>
          </cell>
        </row>
        <row r="243">
          <cell r="A243">
            <v>46</v>
          </cell>
          <cell r="B243" t="str">
            <v xml:space="preserve"> 600 mm WIDE x 100 mm HIGH</v>
          </cell>
          <cell r="C243">
            <v>400</v>
          </cell>
          <cell r="D243" t="str">
            <v>M</v>
          </cell>
          <cell r="E243">
            <v>380</v>
          </cell>
          <cell r="F243">
            <v>152000</v>
          </cell>
          <cell r="G243">
            <v>0</v>
          </cell>
          <cell r="H243">
            <v>0</v>
          </cell>
          <cell r="I243">
            <v>0.84</v>
          </cell>
          <cell r="J243">
            <v>336</v>
          </cell>
          <cell r="K243">
            <v>380</v>
          </cell>
          <cell r="L243">
            <v>152000</v>
          </cell>
          <cell r="M243">
            <v>0</v>
          </cell>
          <cell r="N243">
            <v>0</v>
          </cell>
          <cell r="O243">
            <v>235</v>
          </cell>
          <cell r="P243">
            <v>94000</v>
          </cell>
        </row>
        <row r="244">
          <cell r="A244">
            <v>47</v>
          </cell>
          <cell r="B244" t="str">
            <v xml:space="preserve"> 1000 mm WIDE x 100 mm HIGH</v>
          </cell>
          <cell r="C244">
            <v>160</v>
          </cell>
          <cell r="D244" t="str">
            <v>M</v>
          </cell>
          <cell r="E244">
            <v>450</v>
          </cell>
          <cell r="F244">
            <v>72000</v>
          </cell>
          <cell r="G244">
            <v>0</v>
          </cell>
          <cell r="H244">
            <v>0</v>
          </cell>
          <cell r="I244">
            <v>1</v>
          </cell>
          <cell r="J244">
            <v>160</v>
          </cell>
          <cell r="K244">
            <v>450</v>
          </cell>
          <cell r="L244">
            <v>72000</v>
          </cell>
          <cell r="M244">
            <v>0</v>
          </cell>
          <cell r="N244">
            <v>0</v>
          </cell>
          <cell r="O244">
            <v>280</v>
          </cell>
          <cell r="P244">
            <v>44800</v>
          </cell>
        </row>
        <row r="245"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</row>
        <row r="246">
          <cell r="A246">
            <v>48</v>
          </cell>
          <cell r="B246" t="str">
            <v xml:space="preserve"> CABLE TRAY COVER, H.D. GALV. STEEL</v>
          </cell>
          <cell r="C246">
            <v>150</v>
          </cell>
          <cell r="D246" t="str">
            <v>M</v>
          </cell>
          <cell r="E246">
            <v>328</v>
          </cell>
          <cell r="F246">
            <v>49200</v>
          </cell>
          <cell r="G246">
            <v>0</v>
          </cell>
          <cell r="H246">
            <v>0</v>
          </cell>
          <cell r="I246">
            <v>0.6</v>
          </cell>
          <cell r="J246">
            <v>90</v>
          </cell>
          <cell r="K246">
            <v>328</v>
          </cell>
          <cell r="L246">
            <v>49200</v>
          </cell>
          <cell r="M246">
            <v>0</v>
          </cell>
          <cell r="N246">
            <v>0</v>
          </cell>
          <cell r="O246">
            <v>168</v>
          </cell>
          <cell r="P246">
            <v>25200</v>
          </cell>
        </row>
        <row r="247">
          <cell r="B247" t="str">
            <v xml:space="preserve"> W/ ANODIC TREATMENT &amp; EXPOSY COATING(50u)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</row>
        <row r="248">
          <cell r="B248" t="str">
            <v xml:space="preserve"> STRAIGHT SECTION, 600 mm WIDE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</row>
        <row r="250">
          <cell r="A250">
            <v>49</v>
          </cell>
          <cell r="B250" t="str">
            <v xml:space="preserve"> CABLE TRAY FITTINGS &amp; ACCESSORIES</v>
          </cell>
          <cell r="C250">
            <v>1</v>
          </cell>
          <cell r="D250" t="str">
            <v>LOT</v>
          </cell>
          <cell r="E250">
            <v>174320</v>
          </cell>
          <cell r="F250">
            <v>174320</v>
          </cell>
          <cell r="G250">
            <v>0</v>
          </cell>
          <cell r="H250">
            <v>0</v>
          </cell>
          <cell r="I250">
            <v>113.39999999999999</v>
          </cell>
          <cell r="J250">
            <v>113</v>
          </cell>
          <cell r="K250">
            <v>174320</v>
          </cell>
          <cell r="L250">
            <v>174320</v>
          </cell>
          <cell r="M250">
            <v>0</v>
          </cell>
          <cell r="N250">
            <v>0</v>
          </cell>
          <cell r="O250">
            <v>31752</v>
          </cell>
          <cell r="P250">
            <v>31752</v>
          </cell>
        </row>
        <row r="251"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</row>
        <row r="252">
          <cell r="A252">
            <v>50</v>
          </cell>
          <cell r="B252" t="str">
            <v xml:space="preserve"> CABLE TRAY SUPPORT(IN TRENCH), HOT DIPPED GALVAN.</v>
          </cell>
          <cell r="C252">
            <v>3950</v>
          </cell>
          <cell r="D252" t="str">
            <v>KG</v>
          </cell>
          <cell r="E252">
            <v>20</v>
          </cell>
          <cell r="F252">
            <v>79000</v>
          </cell>
          <cell r="G252">
            <v>0</v>
          </cell>
          <cell r="H252">
            <v>0</v>
          </cell>
          <cell r="I252">
            <v>0.15</v>
          </cell>
          <cell r="J252">
            <v>593</v>
          </cell>
          <cell r="K252">
            <v>20</v>
          </cell>
          <cell r="L252">
            <v>79000</v>
          </cell>
          <cell r="M252">
            <v>0</v>
          </cell>
          <cell r="N252">
            <v>0</v>
          </cell>
          <cell r="O252">
            <v>42</v>
          </cell>
          <cell r="P252">
            <v>165900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</row>
        <row r="254">
          <cell r="A254">
            <v>51</v>
          </cell>
          <cell r="B254" t="str">
            <v>POOLING BOX, OUTDOOR TYPE</v>
          </cell>
          <cell r="C254">
            <v>6</v>
          </cell>
          <cell r="D254" t="str">
            <v>SET</v>
          </cell>
          <cell r="E254">
            <v>80000</v>
          </cell>
          <cell r="F254">
            <v>480000</v>
          </cell>
          <cell r="G254">
            <v>0</v>
          </cell>
          <cell r="H254">
            <v>0</v>
          </cell>
          <cell r="I254">
            <v>50</v>
          </cell>
          <cell r="J254">
            <v>300</v>
          </cell>
          <cell r="K254">
            <v>80000</v>
          </cell>
          <cell r="L254">
            <v>480000</v>
          </cell>
          <cell r="M254">
            <v>0</v>
          </cell>
          <cell r="N254">
            <v>0</v>
          </cell>
          <cell r="O254">
            <v>14000</v>
          </cell>
          <cell r="P254">
            <v>84000</v>
          </cell>
        </row>
        <row r="255">
          <cell r="B255" t="str">
            <v>HOT DIPPED GALVANIZED STEEL, W/ PAINTING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</row>
        <row r="256">
          <cell r="B256" t="str">
            <v xml:space="preserve"> 3000(L)x1600(D)x2200(H)MM., W/ DOORS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</row>
        <row r="258">
          <cell r="A258">
            <v>52</v>
          </cell>
          <cell r="B258" t="str">
            <v xml:space="preserve">JUNCTION BOX, INDOOR TYPE, </v>
          </cell>
          <cell r="C258">
            <v>3</v>
          </cell>
          <cell r="D258" t="str">
            <v>SET</v>
          </cell>
          <cell r="E258">
            <v>16000</v>
          </cell>
          <cell r="F258">
            <v>48000</v>
          </cell>
          <cell r="G258">
            <v>0</v>
          </cell>
          <cell r="H258">
            <v>0</v>
          </cell>
          <cell r="I258">
            <v>15</v>
          </cell>
          <cell r="J258">
            <v>45</v>
          </cell>
          <cell r="K258">
            <v>16000</v>
          </cell>
          <cell r="L258">
            <v>48000</v>
          </cell>
          <cell r="M258">
            <v>0</v>
          </cell>
          <cell r="N258">
            <v>0</v>
          </cell>
          <cell r="O258">
            <v>4200</v>
          </cell>
          <cell r="P258">
            <v>12600</v>
          </cell>
        </row>
        <row r="259">
          <cell r="B259" t="str">
            <v>W/ TB.(FOR 2.0MM. WIRE) X 200P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</row>
        <row r="261">
          <cell r="A261">
            <v>53</v>
          </cell>
          <cell r="B261" t="str">
            <v xml:space="preserve"> MISCELLANEOUS MATERIALS</v>
          </cell>
          <cell r="C261">
            <v>1</v>
          </cell>
          <cell r="D261" t="str">
            <v>LOT</v>
          </cell>
          <cell r="E261">
            <v>677772</v>
          </cell>
          <cell r="F261">
            <v>677772</v>
          </cell>
          <cell r="G261">
            <v>0</v>
          </cell>
          <cell r="H261">
            <v>0</v>
          </cell>
          <cell r="I261">
            <v>963.71999999999991</v>
          </cell>
          <cell r="J261">
            <v>964</v>
          </cell>
          <cell r="K261">
            <v>677772</v>
          </cell>
          <cell r="L261">
            <v>677772</v>
          </cell>
          <cell r="M261">
            <v>0</v>
          </cell>
          <cell r="N261">
            <v>0</v>
          </cell>
          <cell r="O261">
            <v>269842</v>
          </cell>
          <cell r="P261">
            <v>269842</v>
          </cell>
        </row>
        <row r="262"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</row>
        <row r="263">
          <cell r="B263" t="str">
            <v>SUB-TOTAL : (B)</v>
          </cell>
          <cell r="C263">
            <v>0</v>
          </cell>
          <cell r="D263">
            <v>0</v>
          </cell>
          <cell r="E263">
            <v>0</v>
          </cell>
          <cell r="F263">
            <v>23270172</v>
          </cell>
          <cell r="G263">
            <v>0</v>
          </cell>
          <cell r="H263">
            <v>0</v>
          </cell>
          <cell r="I263">
            <v>0</v>
          </cell>
          <cell r="J263">
            <v>33088</v>
          </cell>
          <cell r="K263">
            <v>0</v>
          </cell>
          <cell r="L263">
            <v>23270172</v>
          </cell>
          <cell r="M263">
            <v>0</v>
          </cell>
          <cell r="N263">
            <v>0</v>
          </cell>
          <cell r="O263">
            <v>0</v>
          </cell>
          <cell r="P263">
            <v>9262383</v>
          </cell>
        </row>
        <row r="264"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</row>
        <row r="265"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</row>
        <row r="266"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 xml:space="preserve">  C.</v>
          </cell>
          <cell r="B267" t="str">
            <v xml:space="preserve"> LIGHTING SYSTEM(????????????)</v>
          </cell>
          <cell r="C267">
            <v>350</v>
          </cell>
          <cell r="D267" t="str">
            <v>M</v>
          </cell>
          <cell r="E267">
            <v>26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</row>
        <row r="268">
          <cell r="A268">
            <v>1</v>
          </cell>
          <cell r="B268" t="str">
            <v xml:space="preserve"> LIGHTING PANEL FOR CLASS 1 DIV.2  GROUP D</v>
          </cell>
          <cell r="C268">
            <v>1</v>
          </cell>
          <cell r="D268" t="str">
            <v>SET</v>
          </cell>
          <cell r="E268">
            <v>144000</v>
          </cell>
          <cell r="F268">
            <v>144000</v>
          </cell>
          <cell r="G268">
            <v>0</v>
          </cell>
          <cell r="H268">
            <v>0</v>
          </cell>
          <cell r="I268">
            <v>10</v>
          </cell>
          <cell r="J268">
            <v>10</v>
          </cell>
          <cell r="K268">
            <v>144000</v>
          </cell>
          <cell r="L268">
            <v>144000</v>
          </cell>
          <cell r="M268">
            <v>0</v>
          </cell>
          <cell r="N268">
            <v>0</v>
          </cell>
          <cell r="O268">
            <v>2800</v>
          </cell>
          <cell r="P268">
            <v>2800</v>
          </cell>
        </row>
        <row r="269">
          <cell r="B269" t="str">
            <v xml:space="preserve"> , 3 PHASE 3 WIRE 240V, MAIN 3P30A,BRANCH 2P 20A 6CKT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0.5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</row>
        <row r="270">
          <cell r="A270">
            <v>2</v>
          </cell>
          <cell r="B270" t="str">
            <v xml:space="preserve">LTG. PNL FOR WEATHER-PROOF, 3PHASE 3 WIRE 240V </v>
          </cell>
          <cell r="C270">
            <v>1</v>
          </cell>
          <cell r="D270" t="str">
            <v>SET</v>
          </cell>
          <cell r="E270">
            <v>13000</v>
          </cell>
          <cell r="F270">
            <v>13000</v>
          </cell>
          <cell r="G270">
            <v>0</v>
          </cell>
          <cell r="H270">
            <v>0</v>
          </cell>
          <cell r="I270">
            <v>10</v>
          </cell>
          <cell r="J270">
            <v>10</v>
          </cell>
          <cell r="K270">
            <v>13000</v>
          </cell>
          <cell r="L270">
            <v>13000</v>
          </cell>
          <cell r="M270">
            <v>0</v>
          </cell>
          <cell r="N270">
            <v>0</v>
          </cell>
          <cell r="O270">
            <v>2800</v>
          </cell>
          <cell r="P270">
            <v>2800</v>
          </cell>
        </row>
        <row r="271">
          <cell r="B271" t="str">
            <v>MAIN 3P30A,BRANCH 2P 20A 8 CKT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</row>
        <row r="272">
          <cell r="A272">
            <v>3</v>
          </cell>
          <cell r="B272" t="str">
            <v>LTG. PNL. FOR CLASS 1, DIV.2 GROUP D , 3PHASE 3WIRE</v>
          </cell>
          <cell r="C272">
            <v>1</v>
          </cell>
          <cell r="D272" t="str">
            <v>SET</v>
          </cell>
          <cell r="E272">
            <v>157500</v>
          </cell>
          <cell r="F272">
            <v>157500</v>
          </cell>
          <cell r="G272">
            <v>0</v>
          </cell>
          <cell r="H272">
            <v>0</v>
          </cell>
          <cell r="I272">
            <v>10</v>
          </cell>
          <cell r="J272">
            <v>10</v>
          </cell>
          <cell r="K272">
            <v>157500</v>
          </cell>
          <cell r="L272">
            <v>157500</v>
          </cell>
          <cell r="M272">
            <v>0</v>
          </cell>
          <cell r="N272">
            <v>0</v>
          </cell>
          <cell r="O272">
            <v>2800</v>
          </cell>
          <cell r="P272">
            <v>2800</v>
          </cell>
        </row>
        <row r="273">
          <cell r="B273" t="str">
            <v>240V, MAIN 3P50A,BRANCH 2P 20A 10CKT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0.56000000000000005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</row>
        <row r="274">
          <cell r="A274">
            <v>4</v>
          </cell>
          <cell r="B274" t="str">
            <v>LTG. PNL. FOR WEATHER-PROOF , 3PHASE 3WIRE</v>
          </cell>
          <cell r="C274">
            <v>1</v>
          </cell>
          <cell r="D274" t="str">
            <v>SET</v>
          </cell>
          <cell r="E274">
            <v>11000</v>
          </cell>
          <cell r="F274">
            <v>11000</v>
          </cell>
          <cell r="G274">
            <v>0</v>
          </cell>
          <cell r="H274">
            <v>0</v>
          </cell>
          <cell r="I274">
            <v>8</v>
          </cell>
          <cell r="J274">
            <v>8</v>
          </cell>
          <cell r="K274">
            <v>11000</v>
          </cell>
          <cell r="L274">
            <v>11000</v>
          </cell>
          <cell r="M274">
            <v>0</v>
          </cell>
          <cell r="N274">
            <v>0</v>
          </cell>
          <cell r="O274">
            <v>2240</v>
          </cell>
          <cell r="P274">
            <v>2240</v>
          </cell>
        </row>
        <row r="275">
          <cell r="B275" t="str">
            <v>240V, MAIN 3P30A,BRANCH2P 20A 6CKT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</row>
        <row r="276">
          <cell r="A276">
            <v>5</v>
          </cell>
          <cell r="B276" t="str">
            <v>LTG. PNL. FOR CLASS 1, DIV.2 GROUP D 3 PHASE 3 WIRE</v>
          </cell>
          <cell r="C276">
            <v>1</v>
          </cell>
          <cell r="D276" t="str">
            <v>SET</v>
          </cell>
          <cell r="E276">
            <v>164700</v>
          </cell>
          <cell r="F276">
            <v>164700</v>
          </cell>
          <cell r="G276">
            <v>0</v>
          </cell>
          <cell r="H276">
            <v>0</v>
          </cell>
          <cell r="I276">
            <v>8</v>
          </cell>
          <cell r="J276">
            <v>8</v>
          </cell>
          <cell r="K276">
            <v>164700</v>
          </cell>
          <cell r="L276">
            <v>164700</v>
          </cell>
          <cell r="M276">
            <v>0</v>
          </cell>
          <cell r="N276">
            <v>0</v>
          </cell>
          <cell r="O276">
            <v>2240</v>
          </cell>
          <cell r="P276">
            <v>2240</v>
          </cell>
        </row>
        <row r="277">
          <cell r="B277" t="str">
            <v>240V 2P50A 12CKT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</row>
        <row r="278">
          <cell r="A278">
            <v>6</v>
          </cell>
          <cell r="B278" t="str">
            <v>LTG. PNL. FOR GENERAL PURPOSE 3 PHASE 3 WIRE</v>
          </cell>
          <cell r="C278">
            <v>2</v>
          </cell>
          <cell r="D278" t="str">
            <v>SET</v>
          </cell>
          <cell r="E278">
            <v>12500</v>
          </cell>
          <cell r="F278">
            <v>25000</v>
          </cell>
          <cell r="G278">
            <v>0</v>
          </cell>
          <cell r="H278">
            <v>0</v>
          </cell>
          <cell r="I278">
            <v>8</v>
          </cell>
          <cell r="J278">
            <v>16</v>
          </cell>
          <cell r="K278">
            <v>12500</v>
          </cell>
          <cell r="L278">
            <v>25000</v>
          </cell>
          <cell r="M278">
            <v>0</v>
          </cell>
          <cell r="N278">
            <v>0</v>
          </cell>
          <cell r="O278">
            <v>2240</v>
          </cell>
          <cell r="P278">
            <v>4480</v>
          </cell>
        </row>
        <row r="279">
          <cell r="B279" t="str">
            <v>240V MAIN 3P50A,BRANCH 3P20A 6CKT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</row>
        <row r="280">
          <cell r="A280">
            <v>7</v>
          </cell>
          <cell r="B280" t="str">
            <v>LTG. PNL. FOR GENERAL PURPOSE 3 PHASE 3 WIRE</v>
          </cell>
          <cell r="C280">
            <v>1</v>
          </cell>
          <cell r="D280" t="str">
            <v>SET</v>
          </cell>
          <cell r="E280">
            <v>14500</v>
          </cell>
          <cell r="F280">
            <v>14500</v>
          </cell>
          <cell r="G280">
            <v>0</v>
          </cell>
          <cell r="H280">
            <v>0</v>
          </cell>
          <cell r="I280">
            <v>8</v>
          </cell>
          <cell r="J280">
            <v>8</v>
          </cell>
          <cell r="K280">
            <v>14500</v>
          </cell>
          <cell r="L280">
            <v>14500</v>
          </cell>
          <cell r="M280">
            <v>0</v>
          </cell>
          <cell r="N280">
            <v>0</v>
          </cell>
          <cell r="O280">
            <v>2240</v>
          </cell>
          <cell r="P280">
            <v>2240</v>
          </cell>
        </row>
        <row r="281">
          <cell r="B281" t="str">
            <v>240V MAIN 3P70A,BRANCH 3P20A 8CKT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</row>
        <row r="282">
          <cell r="A282">
            <v>8</v>
          </cell>
          <cell r="B282" t="str">
            <v>CIRCUIT BREAKER AND ENCLOSURE FOR CLASS 1 DIV.2</v>
          </cell>
          <cell r="C282">
            <v>5</v>
          </cell>
          <cell r="D282" t="str">
            <v>SET</v>
          </cell>
          <cell r="E282">
            <v>37800</v>
          </cell>
          <cell r="F282">
            <v>189000</v>
          </cell>
          <cell r="G282">
            <v>0</v>
          </cell>
          <cell r="H282">
            <v>0</v>
          </cell>
          <cell r="I282">
            <v>4</v>
          </cell>
          <cell r="J282">
            <v>20</v>
          </cell>
          <cell r="K282">
            <v>37800</v>
          </cell>
          <cell r="L282">
            <v>189000</v>
          </cell>
          <cell r="M282">
            <v>0</v>
          </cell>
          <cell r="N282">
            <v>0</v>
          </cell>
          <cell r="O282">
            <v>1120</v>
          </cell>
          <cell r="P282">
            <v>5600</v>
          </cell>
        </row>
        <row r="283">
          <cell r="B283" t="str">
            <v>GROUP D, 3-POLE 20AMP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</row>
        <row r="284">
          <cell r="A284">
            <v>9</v>
          </cell>
          <cell r="B284" t="str">
            <v xml:space="preserve">CIRCUIT BREAKER AND ENCLOSURE FOR CLASS 1 DIV.2 </v>
          </cell>
          <cell r="C284">
            <v>1</v>
          </cell>
          <cell r="D284" t="str">
            <v>SET</v>
          </cell>
          <cell r="E284">
            <v>37800</v>
          </cell>
          <cell r="F284">
            <v>37800</v>
          </cell>
          <cell r="G284">
            <v>0</v>
          </cell>
          <cell r="H284">
            <v>0</v>
          </cell>
          <cell r="I284">
            <v>4</v>
          </cell>
          <cell r="J284">
            <v>4</v>
          </cell>
          <cell r="K284">
            <v>37800</v>
          </cell>
          <cell r="L284">
            <v>37800</v>
          </cell>
          <cell r="M284">
            <v>0</v>
          </cell>
          <cell r="N284">
            <v>0</v>
          </cell>
          <cell r="O284">
            <v>1120</v>
          </cell>
          <cell r="P284">
            <v>1120</v>
          </cell>
        </row>
        <row r="285">
          <cell r="B285" t="str">
            <v>GROUP D 3-POLE 30AMP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</row>
        <row r="286">
          <cell r="A286">
            <v>10</v>
          </cell>
          <cell r="B286" t="str">
            <v xml:space="preserve">DRY TYPE TRANSFORMER WITH ENCLOSURE </v>
          </cell>
          <cell r="C286">
            <v>4</v>
          </cell>
          <cell r="D286" t="str">
            <v>SET</v>
          </cell>
          <cell r="E286">
            <v>25000</v>
          </cell>
          <cell r="F286">
            <v>100000</v>
          </cell>
          <cell r="G286">
            <v>0</v>
          </cell>
          <cell r="H286">
            <v>0</v>
          </cell>
          <cell r="I286">
            <v>12</v>
          </cell>
          <cell r="J286">
            <v>48</v>
          </cell>
          <cell r="K286">
            <v>25000</v>
          </cell>
          <cell r="L286">
            <v>100000</v>
          </cell>
          <cell r="M286">
            <v>0</v>
          </cell>
          <cell r="N286">
            <v>0</v>
          </cell>
          <cell r="O286">
            <v>3360</v>
          </cell>
          <cell r="P286">
            <v>13440</v>
          </cell>
        </row>
        <row r="287">
          <cell r="B287" t="str">
            <v>3PH 480/240V 15KVA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</row>
        <row r="288">
          <cell r="A288">
            <v>11</v>
          </cell>
          <cell r="B288" t="str">
            <v xml:space="preserve">DRY TYPE TRANSFORMER WITH ENCLOSURE  </v>
          </cell>
          <cell r="C288">
            <v>1</v>
          </cell>
          <cell r="D288" t="str">
            <v>SET</v>
          </cell>
          <cell r="E288">
            <v>33000</v>
          </cell>
          <cell r="F288">
            <v>33000</v>
          </cell>
          <cell r="G288">
            <v>0</v>
          </cell>
          <cell r="H288">
            <v>0</v>
          </cell>
          <cell r="I288">
            <v>16</v>
          </cell>
          <cell r="J288">
            <v>16</v>
          </cell>
          <cell r="K288">
            <v>33000</v>
          </cell>
          <cell r="L288">
            <v>33000</v>
          </cell>
          <cell r="M288">
            <v>0</v>
          </cell>
          <cell r="N288">
            <v>0</v>
          </cell>
          <cell r="O288">
            <v>4480</v>
          </cell>
          <cell r="P288">
            <v>4480</v>
          </cell>
        </row>
        <row r="289">
          <cell r="B289" t="str">
            <v xml:space="preserve"> 3PH 480/240V 25KVA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9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</row>
        <row r="290">
          <cell r="A290">
            <v>12</v>
          </cell>
          <cell r="B290" t="str">
            <v xml:space="preserve">DRY TYPE TRANSFORMER WITH ENCLOSURE  </v>
          </cell>
          <cell r="C290">
            <v>1</v>
          </cell>
          <cell r="D290" t="str">
            <v>SET</v>
          </cell>
          <cell r="E290">
            <v>18000</v>
          </cell>
          <cell r="F290">
            <v>18000</v>
          </cell>
          <cell r="G290">
            <v>0</v>
          </cell>
          <cell r="H290">
            <v>0</v>
          </cell>
          <cell r="I290">
            <v>6</v>
          </cell>
          <cell r="J290">
            <v>6</v>
          </cell>
          <cell r="K290">
            <v>18000</v>
          </cell>
          <cell r="L290">
            <v>18000</v>
          </cell>
          <cell r="M290">
            <v>0</v>
          </cell>
          <cell r="N290">
            <v>0</v>
          </cell>
          <cell r="O290">
            <v>1680</v>
          </cell>
          <cell r="P290">
            <v>1680</v>
          </cell>
        </row>
        <row r="291">
          <cell r="B291" t="str">
            <v xml:space="preserve"> 3PH 480/240-120V 5KVA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</row>
        <row r="292">
          <cell r="A292">
            <v>13</v>
          </cell>
          <cell r="B292" t="str">
            <v xml:space="preserve"> MER. VAP. LTG. FIX. VAPOR-TIGHT PENDANT</v>
          </cell>
          <cell r="C292">
            <v>21</v>
          </cell>
          <cell r="D292" t="str">
            <v>SET</v>
          </cell>
          <cell r="E292">
            <v>9500</v>
          </cell>
          <cell r="F292">
            <v>199500</v>
          </cell>
          <cell r="G292">
            <v>0</v>
          </cell>
          <cell r="H292">
            <v>0</v>
          </cell>
          <cell r="I292">
            <v>7</v>
          </cell>
          <cell r="J292">
            <v>147</v>
          </cell>
          <cell r="K292">
            <v>9500</v>
          </cell>
          <cell r="L292">
            <v>199500</v>
          </cell>
          <cell r="M292">
            <v>0</v>
          </cell>
          <cell r="N292">
            <v>0</v>
          </cell>
          <cell r="O292">
            <v>1960</v>
          </cell>
          <cell r="P292">
            <v>41160</v>
          </cell>
        </row>
        <row r="293">
          <cell r="B293" t="str">
            <v xml:space="preserve"> MTG,. INTEGRAL CONST. WATT. BALLAST C/W 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</row>
        <row r="294">
          <cell r="B294" t="str">
            <v xml:space="preserve"> GUARD AND DOME REFL. 3/4" HUB 400W 240V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</row>
        <row r="295">
          <cell r="B295" t="str">
            <v>CLASS 1, DIV.2 GROPU D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</row>
        <row r="296">
          <cell r="A296">
            <v>14</v>
          </cell>
          <cell r="B296" t="str">
            <v xml:space="preserve">MER. VAP. LTG. FIX. VAPOR-TIGHT STANCHION MTG. </v>
          </cell>
          <cell r="C296">
            <v>122</v>
          </cell>
          <cell r="D296" t="str">
            <v>SET</v>
          </cell>
          <cell r="E296">
            <v>6000</v>
          </cell>
          <cell r="F296">
            <v>732000</v>
          </cell>
          <cell r="G296">
            <v>0</v>
          </cell>
          <cell r="H296">
            <v>0</v>
          </cell>
          <cell r="I296">
            <v>8</v>
          </cell>
          <cell r="J296">
            <v>976</v>
          </cell>
          <cell r="K296">
            <v>6000</v>
          </cell>
          <cell r="L296">
            <v>732000</v>
          </cell>
          <cell r="M296">
            <v>0</v>
          </cell>
          <cell r="N296">
            <v>0</v>
          </cell>
          <cell r="O296">
            <v>2240</v>
          </cell>
          <cell r="P296">
            <v>273280</v>
          </cell>
        </row>
        <row r="297">
          <cell r="B297" t="str">
            <v>INTEGRAL CONST. WATT. BALLAST C/W GLOBE GUARD &amp;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7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</row>
        <row r="298">
          <cell r="B298" t="str">
            <v xml:space="preserve">DOME REFL. 1-1/2 IN HUB 175W 240V CLASS 1, DIV 2 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</row>
        <row r="299">
          <cell r="B299" t="str">
            <v>GROUP D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</row>
        <row r="300">
          <cell r="A300">
            <v>15</v>
          </cell>
          <cell r="B300" t="str">
            <v>MER. VAP. LTG. FIX. VAPOR-TIGHT PENDANT MTG.</v>
          </cell>
          <cell r="C300">
            <v>52</v>
          </cell>
          <cell r="D300" t="str">
            <v>SET</v>
          </cell>
          <cell r="E300">
            <v>5600</v>
          </cell>
          <cell r="F300">
            <v>291200</v>
          </cell>
          <cell r="G300">
            <v>0</v>
          </cell>
          <cell r="H300">
            <v>0</v>
          </cell>
          <cell r="I300">
            <v>7</v>
          </cell>
          <cell r="J300">
            <v>364</v>
          </cell>
          <cell r="K300">
            <v>5600</v>
          </cell>
          <cell r="L300">
            <v>291200</v>
          </cell>
          <cell r="M300">
            <v>0</v>
          </cell>
          <cell r="N300">
            <v>0</v>
          </cell>
          <cell r="O300">
            <v>1960</v>
          </cell>
          <cell r="P300">
            <v>101920</v>
          </cell>
        </row>
        <row r="301">
          <cell r="B301" t="str">
            <v xml:space="preserve">INTEGRAL CONST. WATT. BALLAST C/W GUARD AND 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</row>
        <row r="302">
          <cell r="B302" t="str">
            <v>DOME REFL. 3/4" HUB 175W 240V CLASS 1 DIV.2 GROUP D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</row>
        <row r="303">
          <cell r="A303">
            <v>16</v>
          </cell>
          <cell r="B303" t="str">
            <v xml:space="preserve"> FLOOD FLOODING MER. VAP. 250W WEATHER-PROOF</v>
          </cell>
          <cell r="C303">
            <v>45</v>
          </cell>
          <cell r="D303" t="str">
            <v>SET</v>
          </cell>
          <cell r="E303">
            <v>1900</v>
          </cell>
          <cell r="F303">
            <v>85500</v>
          </cell>
          <cell r="G303">
            <v>0</v>
          </cell>
          <cell r="H303">
            <v>0</v>
          </cell>
          <cell r="I303">
            <v>7</v>
          </cell>
          <cell r="J303">
            <v>315</v>
          </cell>
          <cell r="K303">
            <v>1900</v>
          </cell>
          <cell r="L303">
            <v>85500</v>
          </cell>
          <cell r="M303">
            <v>0</v>
          </cell>
          <cell r="N303">
            <v>0</v>
          </cell>
          <cell r="O303">
            <v>1960</v>
          </cell>
          <cell r="P303">
            <v>88200</v>
          </cell>
        </row>
        <row r="304">
          <cell r="A304">
            <v>17</v>
          </cell>
          <cell r="B304" t="str">
            <v xml:space="preserve">MER. VAP. STREET LTG FIX. 250W 240V </v>
          </cell>
          <cell r="C304">
            <v>209</v>
          </cell>
          <cell r="D304" t="str">
            <v>SET</v>
          </cell>
          <cell r="E304">
            <v>1650</v>
          </cell>
          <cell r="F304">
            <v>344850</v>
          </cell>
          <cell r="G304">
            <v>0</v>
          </cell>
          <cell r="H304">
            <v>0</v>
          </cell>
          <cell r="I304">
            <v>2</v>
          </cell>
          <cell r="J304">
            <v>418</v>
          </cell>
          <cell r="K304">
            <v>1650</v>
          </cell>
          <cell r="L304">
            <v>344850</v>
          </cell>
          <cell r="M304">
            <v>0</v>
          </cell>
          <cell r="N304">
            <v>0</v>
          </cell>
          <cell r="O304">
            <v>560</v>
          </cell>
          <cell r="P304">
            <v>117040</v>
          </cell>
        </row>
        <row r="305">
          <cell r="A305">
            <v>18</v>
          </cell>
          <cell r="B305" t="str">
            <v>STREET LIGHT PLOE 7M SINGLE ARM WITH FOUNDATION</v>
          </cell>
          <cell r="C305">
            <v>95</v>
          </cell>
          <cell r="D305" t="str">
            <v>SET</v>
          </cell>
          <cell r="E305">
            <v>11600</v>
          </cell>
          <cell r="F305">
            <v>1102000</v>
          </cell>
          <cell r="G305">
            <v>0</v>
          </cell>
          <cell r="H305">
            <v>0</v>
          </cell>
          <cell r="I305">
            <v>9</v>
          </cell>
          <cell r="J305">
            <v>855</v>
          </cell>
          <cell r="K305">
            <v>11600</v>
          </cell>
          <cell r="L305">
            <v>1102000</v>
          </cell>
          <cell r="M305">
            <v>0</v>
          </cell>
          <cell r="N305">
            <v>0</v>
          </cell>
          <cell r="O305">
            <v>2520</v>
          </cell>
          <cell r="P305">
            <v>239400</v>
          </cell>
        </row>
        <row r="306">
          <cell r="A306">
            <v>19</v>
          </cell>
          <cell r="B306" t="str">
            <v>STREET LIGHT PLOE 7M TWINS ARMS WITH FOUNDATION</v>
          </cell>
          <cell r="C306">
            <v>57</v>
          </cell>
          <cell r="D306" t="str">
            <v>SET</v>
          </cell>
          <cell r="E306">
            <v>13300</v>
          </cell>
          <cell r="F306">
            <v>758100</v>
          </cell>
          <cell r="G306">
            <v>0</v>
          </cell>
          <cell r="H306">
            <v>0</v>
          </cell>
          <cell r="I306">
            <v>10</v>
          </cell>
          <cell r="J306">
            <v>570</v>
          </cell>
          <cell r="K306">
            <v>13300</v>
          </cell>
          <cell r="L306">
            <v>758100</v>
          </cell>
          <cell r="M306">
            <v>0</v>
          </cell>
          <cell r="N306">
            <v>0</v>
          </cell>
          <cell r="O306">
            <v>2800</v>
          </cell>
          <cell r="P306">
            <v>159600</v>
          </cell>
        </row>
        <row r="307">
          <cell r="A307">
            <v>20</v>
          </cell>
          <cell r="B307" t="str">
            <v xml:space="preserve"> PHOTOELECTRIC CONTROL UNIT, 240V 15A, </v>
          </cell>
          <cell r="C307">
            <v>1</v>
          </cell>
          <cell r="D307" t="str">
            <v>PCS</v>
          </cell>
          <cell r="E307">
            <v>6000</v>
          </cell>
          <cell r="F307">
            <v>6000</v>
          </cell>
          <cell r="G307">
            <v>0</v>
          </cell>
          <cell r="H307">
            <v>0</v>
          </cell>
          <cell r="I307">
            <v>4</v>
          </cell>
          <cell r="J307">
            <v>4</v>
          </cell>
          <cell r="K307">
            <v>6000</v>
          </cell>
          <cell r="L307">
            <v>6000</v>
          </cell>
          <cell r="M307">
            <v>0</v>
          </cell>
          <cell r="N307">
            <v>0</v>
          </cell>
          <cell r="O307">
            <v>1120</v>
          </cell>
          <cell r="P307">
            <v>1120</v>
          </cell>
        </row>
        <row r="308">
          <cell r="A308">
            <v>21</v>
          </cell>
          <cell r="B308" t="str">
            <v>FLUORESCENT LTG. FIX. WITH BATTERY 2x40W 240V</v>
          </cell>
          <cell r="C308">
            <v>46</v>
          </cell>
          <cell r="D308" t="str">
            <v>SET</v>
          </cell>
          <cell r="E308">
            <v>27000</v>
          </cell>
          <cell r="F308">
            <v>1242000</v>
          </cell>
          <cell r="G308">
            <v>0</v>
          </cell>
          <cell r="H308">
            <v>0</v>
          </cell>
          <cell r="I308">
            <v>6</v>
          </cell>
          <cell r="J308">
            <v>276</v>
          </cell>
          <cell r="K308">
            <v>27000</v>
          </cell>
          <cell r="L308">
            <v>1242000</v>
          </cell>
          <cell r="M308">
            <v>0</v>
          </cell>
          <cell r="N308">
            <v>0</v>
          </cell>
          <cell r="O308">
            <v>1680</v>
          </cell>
          <cell r="P308">
            <v>77280</v>
          </cell>
        </row>
        <row r="309">
          <cell r="B309" t="str">
            <v>FOR CLASS 1, DIV.2 GROUP D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</row>
        <row r="310">
          <cell r="A310">
            <v>22</v>
          </cell>
          <cell r="B310" t="str">
            <v xml:space="preserve"> OBSTRUCTION RED BEACON 120/240V, 3W FEED,</v>
          </cell>
          <cell r="C310">
            <v>2</v>
          </cell>
          <cell r="D310" t="str">
            <v>SET</v>
          </cell>
          <cell r="E310">
            <v>48600</v>
          </cell>
          <cell r="F310">
            <v>97200</v>
          </cell>
          <cell r="G310">
            <v>0</v>
          </cell>
          <cell r="H310">
            <v>0</v>
          </cell>
          <cell r="I310">
            <v>40</v>
          </cell>
          <cell r="J310">
            <v>80</v>
          </cell>
          <cell r="K310">
            <v>48600</v>
          </cell>
          <cell r="L310">
            <v>97200</v>
          </cell>
          <cell r="M310">
            <v>0</v>
          </cell>
          <cell r="N310">
            <v>0</v>
          </cell>
          <cell r="O310">
            <v>11200</v>
          </cell>
          <cell r="P310">
            <v>22400</v>
          </cell>
        </row>
        <row r="311">
          <cell r="B311" t="str">
            <v xml:space="preserve"> 620W x 2 FOR CLASS 1, DIV.2 GROUP D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</row>
        <row r="312">
          <cell r="A312">
            <v>23</v>
          </cell>
          <cell r="B312" t="str">
            <v xml:space="preserve"> OBSTRUCTION MARKER LIGHT, SINGLE FIXTURE</v>
          </cell>
          <cell r="C312">
            <v>3</v>
          </cell>
          <cell r="D312" t="str">
            <v>SET</v>
          </cell>
          <cell r="E312">
            <v>23000</v>
          </cell>
          <cell r="F312">
            <v>69000</v>
          </cell>
          <cell r="G312">
            <v>0</v>
          </cell>
          <cell r="H312">
            <v>0</v>
          </cell>
          <cell r="I312">
            <v>15</v>
          </cell>
          <cell r="J312">
            <v>45</v>
          </cell>
          <cell r="K312">
            <v>23000</v>
          </cell>
          <cell r="L312">
            <v>69000</v>
          </cell>
          <cell r="M312">
            <v>0</v>
          </cell>
          <cell r="N312">
            <v>0</v>
          </cell>
          <cell r="O312">
            <v>4200</v>
          </cell>
          <cell r="P312">
            <v>12600</v>
          </cell>
        </row>
        <row r="313">
          <cell r="B313" t="str">
            <v xml:space="preserve"> C/W INSIDE LAMP,120V 116W,FOR CLASS 1, DIV. 2 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</row>
        <row r="314">
          <cell r="B314" t="str">
            <v>GROUP D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0.153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</row>
        <row r="315">
          <cell r="A315">
            <v>24</v>
          </cell>
          <cell r="B315" t="str">
            <v xml:space="preserve"> FLASHER UNIT, CAST AL. HOUSING 3 CKT</v>
          </cell>
          <cell r="C315">
            <v>1</v>
          </cell>
          <cell r="D315" t="str">
            <v>SET</v>
          </cell>
          <cell r="E315">
            <v>28800</v>
          </cell>
          <cell r="F315">
            <v>28800</v>
          </cell>
          <cell r="G315">
            <v>0</v>
          </cell>
          <cell r="H315">
            <v>0</v>
          </cell>
          <cell r="I315">
            <v>4</v>
          </cell>
          <cell r="J315">
            <v>4</v>
          </cell>
          <cell r="K315">
            <v>28800</v>
          </cell>
          <cell r="L315">
            <v>28800</v>
          </cell>
          <cell r="M315">
            <v>0</v>
          </cell>
          <cell r="N315">
            <v>0</v>
          </cell>
          <cell r="O315">
            <v>1120</v>
          </cell>
          <cell r="P315">
            <v>1120</v>
          </cell>
        </row>
        <row r="316">
          <cell r="B316" t="str">
            <v xml:space="preserve"> SIMULTANEOUS FLASH, 115/240V 3 WIRE, 25A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</row>
        <row r="317">
          <cell r="B317" t="str">
            <v>FOR CLASS 1, DIV.2 GROUP D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</row>
        <row r="318">
          <cell r="A318">
            <v>25</v>
          </cell>
          <cell r="B318" t="str">
            <v xml:space="preserve"> PHOTOELECTRIC CONTROL UNIT, 120V 15A, </v>
          </cell>
          <cell r="C318">
            <v>1</v>
          </cell>
          <cell r="D318" t="str">
            <v>SET</v>
          </cell>
          <cell r="E318">
            <v>28800</v>
          </cell>
          <cell r="F318">
            <v>28800</v>
          </cell>
          <cell r="G318">
            <v>0</v>
          </cell>
          <cell r="H318">
            <v>0</v>
          </cell>
          <cell r="I318">
            <v>6</v>
          </cell>
          <cell r="J318">
            <v>6</v>
          </cell>
          <cell r="K318">
            <v>28800</v>
          </cell>
          <cell r="L318">
            <v>28800</v>
          </cell>
          <cell r="M318">
            <v>0</v>
          </cell>
          <cell r="N318">
            <v>0</v>
          </cell>
          <cell r="O318">
            <v>1680</v>
          </cell>
          <cell r="P318">
            <v>1680</v>
          </cell>
        </row>
        <row r="319">
          <cell r="B319" t="str">
            <v>FOR CLASS 1, DIV.2 GROUP D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</row>
        <row r="320">
          <cell r="A320">
            <v>26</v>
          </cell>
          <cell r="B320" t="str">
            <v xml:space="preserve"> AIRCRAFT WARNING LIGHTING POWER PANEL,</v>
          </cell>
          <cell r="C320">
            <v>1</v>
          </cell>
          <cell r="D320" t="str">
            <v>SET</v>
          </cell>
          <cell r="E320">
            <v>60000</v>
          </cell>
          <cell r="F320">
            <v>60000</v>
          </cell>
          <cell r="G320">
            <v>0</v>
          </cell>
          <cell r="H320">
            <v>0</v>
          </cell>
          <cell r="I320">
            <v>4</v>
          </cell>
          <cell r="J320">
            <v>4</v>
          </cell>
          <cell r="K320">
            <v>60000</v>
          </cell>
          <cell r="L320">
            <v>60000</v>
          </cell>
          <cell r="M320">
            <v>0</v>
          </cell>
          <cell r="N320">
            <v>0</v>
          </cell>
          <cell r="O320">
            <v>1120</v>
          </cell>
          <cell r="P320">
            <v>1120</v>
          </cell>
        </row>
        <row r="321">
          <cell r="B321" t="str">
            <v xml:space="preserve"> OUTDOOR TYPE, 400L x 200W x 200H, 1PH 3W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</row>
        <row r="322">
          <cell r="B322" t="str">
            <v xml:space="preserve"> 240V 30AT IC 10KA, STAINLESS STEEL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</row>
        <row r="323">
          <cell r="A323">
            <v>29</v>
          </cell>
          <cell r="B323" t="str">
            <v>FOR CLASS 1, DIV.2 GROUP D</v>
          </cell>
          <cell r="C323">
            <v>4440</v>
          </cell>
          <cell r="D323" t="str">
            <v>M</v>
          </cell>
          <cell r="E323">
            <v>33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</row>
        <row r="324">
          <cell r="A324">
            <v>27</v>
          </cell>
          <cell r="B324" t="str">
            <v>RECEPTACLE, EXPLOSION-PROOF 20A-3P-2W</v>
          </cell>
          <cell r="C324">
            <v>8</v>
          </cell>
          <cell r="D324" t="str">
            <v>SET</v>
          </cell>
          <cell r="E324">
            <v>5400</v>
          </cell>
          <cell r="F324">
            <v>43200</v>
          </cell>
          <cell r="G324">
            <v>0</v>
          </cell>
          <cell r="H324">
            <v>0</v>
          </cell>
          <cell r="I324">
            <v>4</v>
          </cell>
          <cell r="J324">
            <v>32</v>
          </cell>
          <cell r="K324">
            <v>5400</v>
          </cell>
          <cell r="L324">
            <v>43200</v>
          </cell>
          <cell r="M324">
            <v>0</v>
          </cell>
          <cell r="N324">
            <v>0</v>
          </cell>
          <cell r="O324">
            <v>1120</v>
          </cell>
          <cell r="P324">
            <v>8960</v>
          </cell>
        </row>
        <row r="325">
          <cell r="B325" t="str">
            <v>240V, CLASS 1 DIV.2 GROUP D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</row>
        <row r="326">
          <cell r="A326">
            <v>28</v>
          </cell>
          <cell r="B326" t="str">
            <v>PLUG 20A-3P-2W EXPLOSION-PROOF</v>
          </cell>
          <cell r="C326">
            <v>4</v>
          </cell>
          <cell r="D326" t="str">
            <v>SET</v>
          </cell>
          <cell r="E326">
            <v>1400</v>
          </cell>
          <cell r="F326">
            <v>5600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1400</v>
          </cell>
          <cell r="L326">
            <v>5600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</row>
        <row r="327">
          <cell r="A327">
            <v>29</v>
          </cell>
          <cell r="B327" t="str">
            <v>FIX. WIRE 1/C STRD. COPPER 600V 200 DEGREE 2.0sq.mm</v>
          </cell>
          <cell r="C327">
            <v>4440</v>
          </cell>
          <cell r="D327" t="str">
            <v>M</v>
          </cell>
          <cell r="E327">
            <v>33</v>
          </cell>
          <cell r="F327">
            <v>146520</v>
          </cell>
          <cell r="G327">
            <v>0</v>
          </cell>
          <cell r="H327">
            <v>0</v>
          </cell>
          <cell r="I327">
            <v>0.05</v>
          </cell>
          <cell r="J327">
            <v>222</v>
          </cell>
          <cell r="K327">
            <v>33</v>
          </cell>
          <cell r="L327">
            <v>146520</v>
          </cell>
          <cell r="M327">
            <v>0</v>
          </cell>
          <cell r="N327">
            <v>0</v>
          </cell>
          <cell r="O327">
            <v>14</v>
          </cell>
          <cell r="P327">
            <v>62160</v>
          </cell>
        </row>
        <row r="328">
          <cell r="A328">
            <v>30</v>
          </cell>
          <cell r="B328" t="str">
            <v>R.S.G CONDUIT W/COUPLING,  3/4"</v>
          </cell>
          <cell r="C328">
            <v>2180</v>
          </cell>
          <cell r="D328" t="str">
            <v>M</v>
          </cell>
          <cell r="E328">
            <v>32</v>
          </cell>
          <cell r="F328">
            <v>69760</v>
          </cell>
          <cell r="G328">
            <v>0</v>
          </cell>
          <cell r="H328">
            <v>0</v>
          </cell>
          <cell r="I328">
            <v>0.47</v>
          </cell>
          <cell r="J328">
            <v>1025</v>
          </cell>
          <cell r="K328">
            <v>32</v>
          </cell>
          <cell r="L328">
            <v>69760</v>
          </cell>
          <cell r="M328">
            <v>0</v>
          </cell>
          <cell r="N328">
            <v>0</v>
          </cell>
          <cell r="O328">
            <v>132</v>
          </cell>
          <cell r="P328">
            <v>287760</v>
          </cell>
        </row>
        <row r="329">
          <cell r="A329">
            <v>31</v>
          </cell>
          <cell r="B329" t="str">
            <v>R.S.G CONDUIT W/COUPLING 1"</v>
          </cell>
          <cell r="C329">
            <v>100</v>
          </cell>
          <cell r="D329" t="str">
            <v>M</v>
          </cell>
          <cell r="E329">
            <v>49</v>
          </cell>
          <cell r="F329">
            <v>4900</v>
          </cell>
          <cell r="G329">
            <v>0</v>
          </cell>
          <cell r="H329">
            <v>0</v>
          </cell>
          <cell r="I329">
            <v>0.54</v>
          </cell>
          <cell r="J329">
            <v>54</v>
          </cell>
          <cell r="K329">
            <v>49</v>
          </cell>
          <cell r="L329">
            <v>4900</v>
          </cell>
          <cell r="M329">
            <v>0</v>
          </cell>
          <cell r="N329">
            <v>0</v>
          </cell>
          <cell r="O329">
            <v>151</v>
          </cell>
          <cell r="P329">
            <v>15100</v>
          </cell>
        </row>
        <row r="330">
          <cell r="A330">
            <v>32</v>
          </cell>
          <cell r="B330" t="str">
            <v>R.S.G CONDUIT W/COUPLING 1-1/2"</v>
          </cell>
          <cell r="C330">
            <v>600</v>
          </cell>
          <cell r="D330" t="str">
            <v>M</v>
          </cell>
          <cell r="E330">
            <v>78</v>
          </cell>
          <cell r="F330">
            <v>46800</v>
          </cell>
          <cell r="G330">
            <v>0</v>
          </cell>
          <cell r="H330">
            <v>0</v>
          </cell>
          <cell r="I330">
            <v>0.76</v>
          </cell>
          <cell r="J330">
            <v>456</v>
          </cell>
          <cell r="K330">
            <v>78</v>
          </cell>
          <cell r="L330">
            <v>46800</v>
          </cell>
          <cell r="M330">
            <v>0</v>
          </cell>
          <cell r="N330">
            <v>0</v>
          </cell>
          <cell r="O330">
            <v>213</v>
          </cell>
          <cell r="P330">
            <v>127800</v>
          </cell>
        </row>
        <row r="331">
          <cell r="A331">
            <v>33</v>
          </cell>
          <cell r="B331" t="str">
            <v>PVC CONDUIT 1-1/2"</v>
          </cell>
          <cell r="C331">
            <v>350</v>
          </cell>
          <cell r="D331" t="str">
            <v>M</v>
          </cell>
          <cell r="E331">
            <v>26</v>
          </cell>
          <cell r="F331">
            <v>9100</v>
          </cell>
          <cell r="G331">
            <v>0</v>
          </cell>
          <cell r="H331">
            <v>0</v>
          </cell>
          <cell r="I331">
            <v>0.26</v>
          </cell>
          <cell r="J331">
            <v>91</v>
          </cell>
          <cell r="K331">
            <v>26</v>
          </cell>
          <cell r="L331">
            <v>9100</v>
          </cell>
          <cell r="M331">
            <v>0</v>
          </cell>
          <cell r="N331">
            <v>0</v>
          </cell>
          <cell r="O331">
            <v>73</v>
          </cell>
          <cell r="P331">
            <v>25550</v>
          </cell>
        </row>
        <row r="332">
          <cell r="A332">
            <v>34</v>
          </cell>
          <cell r="B332" t="str">
            <v>PVC CONDUIT ,  2"</v>
          </cell>
          <cell r="C332">
            <v>10615</v>
          </cell>
          <cell r="D332" t="str">
            <v>M</v>
          </cell>
          <cell r="E332">
            <v>38</v>
          </cell>
          <cell r="F332">
            <v>403370</v>
          </cell>
          <cell r="G332">
            <v>0</v>
          </cell>
          <cell r="H332">
            <v>0</v>
          </cell>
          <cell r="I332">
            <v>0.3</v>
          </cell>
          <cell r="J332">
            <v>3185</v>
          </cell>
          <cell r="K332">
            <v>38</v>
          </cell>
          <cell r="L332">
            <v>403370</v>
          </cell>
          <cell r="M332">
            <v>0</v>
          </cell>
          <cell r="N332">
            <v>0</v>
          </cell>
          <cell r="O332">
            <v>84</v>
          </cell>
          <cell r="P332">
            <v>891660</v>
          </cell>
        </row>
        <row r="333">
          <cell r="A333">
            <v>35</v>
          </cell>
          <cell r="B333" t="str">
            <v>CONDUIT FITTINGS &amp; ACCESSORIES</v>
          </cell>
          <cell r="C333">
            <v>1</v>
          </cell>
          <cell r="D333" t="str">
            <v>LOT</v>
          </cell>
          <cell r="E333">
            <v>242920</v>
          </cell>
          <cell r="F333">
            <v>242920</v>
          </cell>
          <cell r="G333">
            <v>0</v>
          </cell>
          <cell r="H333">
            <v>0</v>
          </cell>
          <cell r="I333">
            <v>460.5</v>
          </cell>
          <cell r="J333">
            <v>461</v>
          </cell>
          <cell r="K333">
            <v>242920</v>
          </cell>
          <cell r="L333">
            <v>242920</v>
          </cell>
          <cell r="M333">
            <v>0</v>
          </cell>
          <cell r="N333">
            <v>0</v>
          </cell>
          <cell r="O333">
            <v>128940</v>
          </cell>
          <cell r="P333">
            <v>128940</v>
          </cell>
        </row>
        <row r="334">
          <cell r="A334">
            <v>36</v>
          </cell>
          <cell r="B334" t="str">
            <v>600V PVC WIRE 3.5 sq.mm</v>
          </cell>
          <cell r="C334">
            <v>3500</v>
          </cell>
          <cell r="D334" t="str">
            <v>M</v>
          </cell>
          <cell r="E334">
            <v>3</v>
          </cell>
          <cell r="F334">
            <v>10500</v>
          </cell>
          <cell r="G334">
            <v>0</v>
          </cell>
          <cell r="H334">
            <v>0</v>
          </cell>
          <cell r="I334">
            <v>4.1000000000000002E-2</v>
          </cell>
          <cell r="J334">
            <v>144</v>
          </cell>
          <cell r="K334">
            <v>3</v>
          </cell>
          <cell r="L334">
            <v>10500</v>
          </cell>
          <cell r="M334">
            <v>0</v>
          </cell>
          <cell r="N334">
            <v>0</v>
          </cell>
          <cell r="O334">
            <v>11</v>
          </cell>
          <cell r="P334">
            <v>38500</v>
          </cell>
        </row>
        <row r="335">
          <cell r="A335">
            <v>37</v>
          </cell>
          <cell r="B335" t="str">
            <v>600V PVC WIRE 5.5sq.mm</v>
          </cell>
          <cell r="C335">
            <v>3240</v>
          </cell>
          <cell r="D335" t="str">
            <v>M</v>
          </cell>
          <cell r="E335">
            <v>4</v>
          </cell>
          <cell r="F335">
            <v>12960</v>
          </cell>
          <cell r="G335">
            <v>0</v>
          </cell>
          <cell r="H335">
            <v>0</v>
          </cell>
          <cell r="I335">
            <v>5.1999999999999998E-2</v>
          </cell>
          <cell r="J335">
            <v>168</v>
          </cell>
          <cell r="K335">
            <v>4</v>
          </cell>
          <cell r="L335">
            <v>12960</v>
          </cell>
          <cell r="M335">
            <v>0</v>
          </cell>
          <cell r="N335">
            <v>0</v>
          </cell>
          <cell r="O335">
            <v>15</v>
          </cell>
          <cell r="P335">
            <v>48600</v>
          </cell>
        </row>
        <row r="336">
          <cell r="A336">
            <v>38</v>
          </cell>
          <cell r="B336" t="str">
            <v>600V XLPE 5/C-38sq.mm</v>
          </cell>
          <cell r="C336">
            <v>10615</v>
          </cell>
          <cell r="D336" t="str">
            <v>M</v>
          </cell>
          <cell r="E336">
            <v>200</v>
          </cell>
          <cell r="F336">
            <v>2123000</v>
          </cell>
          <cell r="G336">
            <v>0</v>
          </cell>
          <cell r="H336">
            <v>0</v>
          </cell>
          <cell r="I336">
            <v>0.31</v>
          </cell>
          <cell r="J336">
            <v>3291</v>
          </cell>
          <cell r="K336">
            <v>200</v>
          </cell>
          <cell r="L336">
            <v>2123000</v>
          </cell>
          <cell r="M336">
            <v>0</v>
          </cell>
          <cell r="N336">
            <v>0</v>
          </cell>
          <cell r="O336">
            <v>87</v>
          </cell>
          <cell r="P336">
            <v>923505</v>
          </cell>
        </row>
        <row r="337">
          <cell r="A337">
            <v>39</v>
          </cell>
          <cell r="B337" t="str">
            <v>600V XLPE 4/C 14 sq.mm</v>
          </cell>
          <cell r="C337">
            <v>500</v>
          </cell>
          <cell r="D337" t="str">
            <v>M</v>
          </cell>
          <cell r="E337">
            <v>61</v>
          </cell>
          <cell r="F337">
            <v>30500</v>
          </cell>
          <cell r="G337">
            <v>0</v>
          </cell>
          <cell r="H337">
            <v>0</v>
          </cell>
          <cell r="I337">
            <v>0.17799999999999999</v>
          </cell>
          <cell r="J337">
            <v>89</v>
          </cell>
          <cell r="K337">
            <v>61</v>
          </cell>
          <cell r="L337">
            <v>30500</v>
          </cell>
          <cell r="M337">
            <v>0</v>
          </cell>
          <cell r="N337">
            <v>0</v>
          </cell>
          <cell r="O337">
            <v>50</v>
          </cell>
          <cell r="P337">
            <v>25000</v>
          </cell>
        </row>
        <row r="338">
          <cell r="A338">
            <v>40</v>
          </cell>
          <cell r="B338" t="str">
            <v>HOT DIPPED GALVALNIZED STEEL U-CHANNEL 41x41x2.0t</v>
          </cell>
          <cell r="C338">
            <v>350</v>
          </cell>
          <cell r="D338" t="str">
            <v>M</v>
          </cell>
          <cell r="E338">
            <v>82</v>
          </cell>
          <cell r="F338">
            <v>28700</v>
          </cell>
          <cell r="G338">
            <v>0</v>
          </cell>
          <cell r="H338">
            <v>0</v>
          </cell>
          <cell r="I338">
            <v>0.40699999999999997</v>
          </cell>
          <cell r="J338">
            <v>142</v>
          </cell>
          <cell r="K338">
            <v>82</v>
          </cell>
          <cell r="L338">
            <v>28700</v>
          </cell>
          <cell r="M338">
            <v>0</v>
          </cell>
          <cell r="N338">
            <v>0</v>
          </cell>
          <cell r="O338">
            <v>114</v>
          </cell>
          <cell r="P338">
            <v>39900</v>
          </cell>
        </row>
        <row r="339">
          <cell r="A339">
            <v>41</v>
          </cell>
          <cell r="B339" t="str">
            <v>EXCAVATION</v>
          </cell>
          <cell r="C339">
            <v>1910</v>
          </cell>
          <cell r="D339" t="str">
            <v>M3</v>
          </cell>
          <cell r="E339" t="str">
            <v>M+L</v>
          </cell>
          <cell r="F339" t="str">
            <v>M+L</v>
          </cell>
          <cell r="G339">
            <v>0</v>
          </cell>
          <cell r="H339">
            <v>0</v>
          </cell>
          <cell r="I339">
            <v>0.2</v>
          </cell>
          <cell r="J339">
            <v>0</v>
          </cell>
          <cell r="K339" t="str">
            <v>M+L</v>
          </cell>
          <cell r="L339" t="str">
            <v>M+L</v>
          </cell>
          <cell r="M339">
            <v>0</v>
          </cell>
          <cell r="N339">
            <v>0</v>
          </cell>
          <cell r="O339">
            <v>60</v>
          </cell>
          <cell r="P339">
            <v>114600</v>
          </cell>
        </row>
        <row r="340">
          <cell r="A340">
            <v>42</v>
          </cell>
          <cell r="B340" t="str">
            <v>BACKFILL</v>
          </cell>
          <cell r="C340">
            <v>1910</v>
          </cell>
          <cell r="D340" t="str">
            <v>M3</v>
          </cell>
          <cell r="E340" t="str">
            <v>M+L</v>
          </cell>
          <cell r="F340" t="str">
            <v>M+L</v>
          </cell>
          <cell r="G340">
            <v>0</v>
          </cell>
          <cell r="H340">
            <v>0</v>
          </cell>
          <cell r="I340">
            <v>0.2</v>
          </cell>
          <cell r="J340">
            <v>0</v>
          </cell>
          <cell r="K340" t="str">
            <v>M+L</v>
          </cell>
          <cell r="L340" t="str">
            <v>M+L</v>
          </cell>
          <cell r="M340">
            <v>0</v>
          </cell>
          <cell r="N340">
            <v>0</v>
          </cell>
          <cell r="O340">
            <v>100</v>
          </cell>
          <cell r="P340">
            <v>191000</v>
          </cell>
        </row>
        <row r="341">
          <cell r="A341">
            <v>43</v>
          </cell>
          <cell r="B341" t="str">
            <v>MISCELLANEOUS MATERIALS</v>
          </cell>
          <cell r="C341">
            <v>1</v>
          </cell>
          <cell r="D341" t="str">
            <v>LOT</v>
          </cell>
          <cell r="E341">
            <v>456514</v>
          </cell>
          <cell r="F341">
            <v>456514</v>
          </cell>
          <cell r="G341">
            <v>0</v>
          </cell>
          <cell r="H341">
            <v>0</v>
          </cell>
          <cell r="I341">
            <v>679.40000000000009</v>
          </cell>
          <cell r="J341">
            <v>679</v>
          </cell>
          <cell r="K341">
            <v>456514</v>
          </cell>
          <cell r="L341">
            <v>456514</v>
          </cell>
          <cell r="M341">
            <v>0</v>
          </cell>
          <cell r="N341">
            <v>0</v>
          </cell>
          <cell r="O341">
            <v>190232</v>
          </cell>
          <cell r="P341">
            <v>190232</v>
          </cell>
        </row>
        <row r="342">
          <cell r="B342" t="str">
            <v>SUB-TOTAL : (C)</v>
          </cell>
          <cell r="C342">
            <v>3</v>
          </cell>
          <cell r="D342">
            <v>11.13</v>
          </cell>
          <cell r="E342">
            <v>1.25</v>
          </cell>
          <cell r="F342">
            <v>9586794</v>
          </cell>
          <cell r="G342">
            <v>0</v>
          </cell>
          <cell r="H342">
            <v>0</v>
          </cell>
          <cell r="I342">
            <v>0.3</v>
          </cell>
          <cell r="J342">
            <v>14267</v>
          </cell>
          <cell r="K342">
            <v>0</v>
          </cell>
          <cell r="L342">
            <v>9586794</v>
          </cell>
          <cell r="M342">
            <v>0</v>
          </cell>
          <cell r="N342">
            <v>0</v>
          </cell>
          <cell r="O342">
            <v>0</v>
          </cell>
          <cell r="P342">
            <v>4303107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H343">
            <v>0</v>
          </cell>
          <cell r="I343">
            <v>0.41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G344">
            <v>0</v>
          </cell>
          <cell r="H344">
            <v>0</v>
          </cell>
          <cell r="I344">
            <v>0.51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5">
          <cell r="A345" t="str">
            <v xml:space="preserve">  D.</v>
          </cell>
          <cell r="B345" t="str">
            <v>GROUNDING  SYSTEM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G345">
            <v>0</v>
          </cell>
          <cell r="H345">
            <v>0</v>
          </cell>
          <cell r="I345">
            <v>0.61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</row>
        <row r="346">
          <cell r="A346">
            <v>1</v>
          </cell>
          <cell r="B346" t="str">
            <v xml:space="preserve"> GROUND WIRE, BARE CONDUCTOR 60 sq.mm</v>
          </cell>
          <cell r="C346">
            <v>8000</v>
          </cell>
          <cell r="D346" t="str">
            <v>M</v>
          </cell>
          <cell r="E346">
            <v>47</v>
          </cell>
          <cell r="F346">
            <v>376000</v>
          </cell>
          <cell r="G346">
            <v>0</v>
          </cell>
          <cell r="H346">
            <v>0</v>
          </cell>
          <cell r="I346">
            <v>0.14099999999999999</v>
          </cell>
          <cell r="J346">
            <v>1128</v>
          </cell>
          <cell r="K346">
            <v>47</v>
          </cell>
          <cell r="L346">
            <v>376000</v>
          </cell>
          <cell r="M346">
            <v>0</v>
          </cell>
          <cell r="N346">
            <v>0</v>
          </cell>
          <cell r="O346">
            <v>39</v>
          </cell>
          <cell r="P346">
            <v>312000</v>
          </cell>
        </row>
        <row r="347">
          <cell r="A347">
            <v>2</v>
          </cell>
          <cell r="B347" t="str">
            <v xml:space="preserve"> DITTO, BUT38 sq.mm</v>
          </cell>
          <cell r="C347">
            <v>620</v>
          </cell>
          <cell r="D347" t="str">
            <v>M</v>
          </cell>
          <cell r="E347">
            <v>32</v>
          </cell>
          <cell r="F347">
            <v>19840</v>
          </cell>
          <cell r="G347">
            <v>0</v>
          </cell>
          <cell r="H347">
            <v>0</v>
          </cell>
          <cell r="I347">
            <v>0.11700000000000001</v>
          </cell>
          <cell r="J347">
            <v>73</v>
          </cell>
          <cell r="K347">
            <v>32</v>
          </cell>
          <cell r="L347">
            <v>19840</v>
          </cell>
          <cell r="M347">
            <v>0</v>
          </cell>
          <cell r="N347">
            <v>0</v>
          </cell>
          <cell r="O347">
            <v>33</v>
          </cell>
          <cell r="P347">
            <v>20460</v>
          </cell>
        </row>
        <row r="348">
          <cell r="A348">
            <v>3</v>
          </cell>
          <cell r="B348" t="str">
            <v xml:space="preserve"> GROUND ROD, 3/4" x 10 FT</v>
          </cell>
          <cell r="C348">
            <v>208</v>
          </cell>
          <cell r="D348" t="str">
            <v>PCS</v>
          </cell>
          <cell r="E348">
            <v>350</v>
          </cell>
          <cell r="F348">
            <v>72800</v>
          </cell>
          <cell r="G348">
            <v>0</v>
          </cell>
          <cell r="H348">
            <v>0</v>
          </cell>
          <cell r="I348">
            <v>5</v>
          </cell>
          <cell r="J348">
            <v>1040</v>
          </cell>
          <cell r="K348">
            <v>350</v>
          </cell>
          <cell r="L348">
            <v>72800</v>
          </cell>
          <cell r="M348">
            <v>0</v>
          </cell>
          <cell r="N348">
            <v>0</v>
          </cell>
          <cell r="O348">
            <v>1400</v>
          </cell>
          <cell r="P348">
            <v>291200</v>
          </cell>
        </row>
        <row r="349">
          <cell r="A349">
            <v>4</v>
          </cell>
          <cell r="B349" t="str">
            <v xml:space="preserve"> CADWELD GROUND POWDER CARTRIDGE SIZE 45</v>
          </cell>
          <cell r="C349">
            <v>170</v>
          </cell>
          <cell r="D349" t="str">
            <v>PCS</v>
          </cell>
          <cell r="E349">
            <v>45</v>
          </cell>
          <cell r="F349">
            <v>7650</v>
          </cell>
          <cell r="G349">
            <v>0</v>
          </cell>
          <cell r="H349">
            <v>0</v>
          </cell>
          <cell r="I349">
            <v>0.5</v>
          </cell>
          <cell r="J349">
            <v>85</v>
          </cell>
          <cell r="K349">
            <v>45</v>
          </cell>
          <cell r="L349">
            <v>7650</v>
          </cell>
          <cell r="M349">
            <v>0</v>
          </cell>
          <cell r="N349">
            <v>0</v>
          </cell>
          <cell r="O349">
            <v>140</v>
          </cell>
          <cell r="P349">
            <v>23800</v>
          </cell>
        </row>
        <row r="350">
          <cell r="A350">
            <v>5</v>
          </cell>
          <cell r="B350" t="str">
            <v xml:space="preserve"> CADWELD GROUND POWDER CARTRIDGE SIZE 90</v>
          </cell>
          <cell r="C350">
            <v>93</v>
          </cell>
          <cell r="D350" t="str">
            <v>PCS</v>
          </cell>
          <cell r="E350">
            <v>90</v>
          </cell>
          <cell r="F350">
            <v>8370</v>
          </cell>
          <cell r="G350">
            <v>0</v>
          </cell>
          <cell r="H350">
            <v>0</v>
          </cell>
          <cell r="I350">
            <v>0.5</v>
          </cell>
          <cell r="J350">
            <v>47</v>
          </cell>
          <cell r="K350">
            <v>90</v>
          </cell>
          <cell r="L350">
            <v>8370</v>
          </cell>
          <cell r="M350">
            <v>0</v>
          </cell>
          <cell r="N350">
            <v>0</v>
          </cell>
          <cell r="O350">
            <v>140</v>
          </cell>
          <cell r="P350">
            <v>13020</v>
          </cell>
        </row>
        <row r="351">
          <cell r="A351">
            <v>6</v>
          </cell>
          <cell r="B351" t="str">
            <v xml:space="preserve"> CADWELD GROUND POWDER CARTRIDGE SIZE 115</v>
          </cell>
          <cell r="C351">
            <v>159</v>
          </cell>
          <cell r="D351" t="str">
            <v>PCS</v>
          </cell>
          <cell r="E351">
            <v>115</v>
          </cell>
          <cell r="F351">
            <v>18285</v>
          </cell>
          <cell r="G351">
            <v>0</v>
          </cell>
          <cell r="H351">
            <v>0</v>
          </cell>
          <cell r="I351">
            <v>0.5</v>
          </cell>
          <cell r="J351">
            <v>80</v>
          </cell>
          <cell r="K351">
            <v>115</v>
          </cell>
          <cell r="L351">
            <v>18285</v>
          </cell>
          <cell r="M351">
            <v>0</v>
          </cell>
          <cell r="N351">
            <v>0</v>
          </cell>
          <cell r="O351">
            <v>140</v>
          </cell>
          <cell r="P351">
            <v>22260</v>
          </cell>
        </row>
        <row r="352">
          <cell r="A352">
            <v>7</v>
          </cell>
          <cell r="B352" t="str">
            <v xml:space="preserve"> CADWELD MOLD, FOR CABLE TO GROUND ROD</v>
          </cell>
          <cell r="C352">
            <v>10</v>
          </cell>
          <cell r="D352" t="str">
            <v>PCS</v>
          </cell>
          <cell r="E352">
            <v>1250</v>
          </cell>
          <cell r="F352">
            <v>12500</v>
          </cell>
          <cell r="G352">
            <v>0</v>
          </cell>
          <cell r="H352">
            <v>0</v>
          </cell>
          <cell r="I352">
            <v>2.0299999999999998</v>
          </cell>
          <cell r="J352">
            <v>0</v>
          </cell>
          <cell r="K352">
            <v>1250</v>
          </cell>
          <cell r="L352">
            <v>12500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</row>
        <row r="353">
          <cell r="B353" t="str">
            <v xml:space="preserve"> CADWELD GTC-182G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G353">
            <v>0</v>
          </cell>
          <cell r="H353">
            <v>0</v>
          </cell>
          <cell r="I353">
            <v>2.23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</row>
        <row r="354">
          <cell r="A354">
            <v>8</v>
          </cell>
          <cell r="B354" t="str">
            <v xml:space="preserve"> CADWELD MOLD, FOR CABLE TO CABLE</v>
          </cell>
          <cell r="C354">
            <v>5</v>
          </cell>
          <cell r="D354" t="str">
            <v>PCS</v>
          </cell>
          <cell r="E354">
            <v>1250</v>
          </cell>
          <cell r="F354">
            <v>6250</v>
          </cell>
          <cell r="G354">
            <v>0</v>
          </cell>
          <cell r="H354">
            <v>0</v>
          </cell>
          <cell r="I354">
            <v>2.4300000000000002</v>
          </cell>
          <cell r="J354">
            <v>0</v>
          </cell>
          <cell r="K354">
            <v>1250</v>
          </cell>
          <cell r="L354">
            <v>6250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</row>
        <row r="355">
          <cell r="A355">
            <v>11</v>
          </cell>
          <cell r="B355" t="str">
            <v xml:space="preserve"> CADWELD TAC-2G2G</v>
          </cell>
          <cell r="C355">
            <v>25</v>
          </cell>
          <cell r="D355" t="str">
            <v>SET</v>
          </cell>
          <cell r="E355">
            <v>3500</v>
          </cell>
          <cell r="F355">
            <v>0</v>
          </cell>
          <cell r="G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</row>
        <row r="356">
          <cell r="A356">
            <v>9</v>
          </cell>
          <cell r="B356" t="str">
            <v xml:space="preserve"> DITTO, BUT CADWELD TAC-2G1V</v>
          </cell>
          <cell r="C356">
            <v>10</v>
          </cell>
          <cell r="D356" t="str">
            <v>PCS</v>
          </cell>
          <cell r="E356">
            <v>1250</v>
          </cell>
          <cell r="F356">
            <v>12500</v>
          </cell>
          <cell r="G356">
            <v>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1250</v>
          </cell>
          <cell r="L356">
            <v>12500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</row>
        <row r="357">
          <cell r="A357">
            <v>10</v>
          </cell>
          <cell r="B357" t="str">
            <v xml:space="preserve"> GROUND CONNECTOR FOR CABLE TO ROD OR PIPE</v>
          </cell>
          <cell r="C357">
            <v>50</v>
          </cell>
          <cell r="D357" t="str">
            <v>PCS</v>
          </cell>
          <cell r="E357">
            <v>650</v>
          </cell>
          <cell r="F357">
            <v>32500</v>
          </cell>
          <cell r="G357">
            <v>0</v>
          </cell>
          <cell r="H357">
            <v>0</v>
          </cell>
          <cell r="I357">
            <v>1</v>
          </cell>
          <cell r="J357">
            <v>50</v>
          </cell>
          <cell r="K357">
            <v>650</v>
          </cell>
          <cell r="L357">
            <v>32500</v>
          </cell>
          <cell r="M357">
            <v>0</v>
          </cell>
          <cell r="N357">
            <v>0</v>
          </cell>
          <cell r="O357">
            <v>280</v>
          </cell>
          <cell r="P357">
            <v>14000</v>
          </cell>
        </row>
        <row r="358">
          <cell r="B358" t="str">
            <v xml:space="preserve"> BURNDY GK-6429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G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</row>
        <row r="359">
          <cell r="A359">
            <v>11</v>
          </cell>
          <cell r="B359" t="str">
            <v xml:space="preserve"> GROUND TERMINAL BOX, 450MMx300MMx150MMx1.6t WITH</v>
          </cell>
          <cell r="C359">
            <v>25</v>
          </cell>
          <cell r="D359" t="str">
            <v>SET</v>
          </cell>
          <cell r="E359">
            <v>3500</v>
          </cell>
          <cell r="F359">
            <v>87500</v>
          </cell>
          <cell r="G359">
            <v>0</v>
          </cell>
          <cell r="H359">
            <v>0</v>
          </cell>
          <cell r="I359">
            <v>6</v>
          </cell>
          <cell r="J359">
            <v>150</v>
          </cell>
          <cell r="K359">
            <v>3500</v>
          </cell>
          <cell r="L359">
            <v>87500</v>
          </cell>
          <cell r="M359">
            <v>0</v>
          </cell>
          <cell r="N359">
            <v>0</v>
          </cell>
          <cell r="O359">
            <v>1680</v>
          </cell>
          <cell r="P359">
            <v>42000</v>
          </cell>
        </row>
        <row r="360">
          <cell r="B360" t="str">
            <v>GROUNDING BUS 300Mx50MMx6t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</row>
        <row r="361">
          <cell r="A361">
            <v>12</v>
          </cell>
          <cell r="B361" t="str">
            <v xml:space="preserve"> CABLE LUG, COPPER FOR 60 sq.mm</v>
          </cell>
          <cell r="C361">
            <v>92</v>
          </cell>
          <cell r="D361" t="str">
            <v>PCS</v>
          </cell>
          <cell r="E361">
            <v>60</v>
          </cell>
          <cell r="F361">
            <v>5520</v>
          </cell>
          <cell r="G361">
            <v>0</v>
          </cell>
          <cell r="H361">
            <v>0</v>
          </cell>
          <cell r="I361">
            <v>0.5</v>
          </cell>
          <cell r="J361">
            <v>46</v>
          </cell>
          <cell r="K361">
            <v>60</v>
          </cell>
          <cell r="L361">
            <v>5520</v>
          </cell>
          <cell r="M361">
            <v>0</v>
          </cell>
          <cell r="N361">
            <v>0</v>
          </cell>
          <cell r="O361">
            <v>140</v>
          </cell>
          <cell r="P361">
            <v>12880</v>
          </cell>
        </row>
        <row r="362">
          <cell r="A362">
            <v>13</v>
          </cell>
          <cell r="B362" t="str">
            <v xml:space="preserve"> DITTO, BUT FOR 38 sq.mm</v>
          </cell>
          <cell r="C362">
            <v>169</v>
          </cell>
          <cell r="D362" t="str">
            <v>PCS</v>
          </cell>
          <cell r="E362">
            <v>38</v>
          </cell>
          <cell r="F362">
            <v>6422</v>
          </cell>
          <cell r="G362">
            <v>0</v>
          </cell>
          <cell r="H362">
            <v>0</v>
          </cell>
          <cell r="I362">
            <v>0.5</v>
          </cell>
          <cell r="J362">
            <v>85</v>
          </cell>
          <cell r="K362">
            <v>38</v>
          </cell>
          <cell r="L362">
            <v>6422</v>
          </cell>
          <cell r="M362">
            <v>0</v>
          </cell>
          <cell r="N362">
            <v>0</v>
          </cell>
          <cell r="O362">
            <v>140</v>
          </cell>
          <cell r="P362">
            <v>23660</v>
          </cell>
        </row>
        <row r="363">
          <cell r="A363">
            <v>14</v>
          </cell>
          <cell r="B363" t="str">
            <v xml:space="preserve"> CONCRETE PIPE WITH COVER 12" DIA. 2 FT LG</v>
          </cell>
          <cell r="C363">
            <v>50</v>
          </cell>
          <cell r="D363" t="str">
            <v>PCS</v>
          </cell>
          <cell r="E363">
            <v>2800</v>
          </cell>
          <cell r="F363">
            <v>140000</v>
          </cell>
          <cell r="G363">
            <v>0</v>
          </cell>
          <cell r="H363">
            <v>0</v>
          </cell>
          <cell r="I363">
            <v>3</v>
          </cell>
          <cell r="J363">
            <v>150</v>
          </cell>
          <cell r="K363">
            <v>2800</v>
          </cell>
          <cell r="L363">
            <v>140000</v>
          </cell>
          <cell r="M363">
            <v>0</v>
          </cell>
          <cell r="N363">
            <v>0</v>
          </cell>
          <cell r="O363">
            <v>840</v>
          </cell>
          <cell r="P363">
            <v>42000</v>
          </cell>
        </row>
        <row r="364">
          <cell r="A364">
            <v>15</v>
          </cell>
          <cell r="B364" t="str">
            <v xml:space="preserve"> STEEL PLATE, SS41, 1829x6401x6t</v>
          </cell>
          <cell r="C364">
            <v>1</v>
          </cell>
          <cell r="D364" t="str">
            <v>PCS</v>
          </cell>
          <cell r="E364">
            <v>10000</v>
          </cell>
          <cell r="F364">
            <v>10000</v>
          </cell>
          <cell r="G364">
            <v>0</v>
          </cell>
          <cell r="H364">
            <v>0</v>
          </cell>
          <cell r="I364">
            <v>20</v>
          </cell>
          <cell r="J364">
            <v>20</v>
          </cell>
          <cell r="K364">
            <v>10000</v>
          </cell>
          <cell r="L364">
            <v>10000</v>
          </cell>
          <cell r="M364">
            <v>0</v>
          </cell>
          <cell r="N364">
            <v>0</v>
          </cell>
          <cell r="O364">
            <v>5600</v>
          </cell>
          <cell r="P364">
            <v>5600</v>
          </cell>
        </row>
        <row r="365">
          <cell r="A365">
            <v>16</v>
          </cell>
          <cell r="B365" t="str">
            <v xml:space="preserve"> CONDUIT CLAMP, ONE-HOLE 3/4"</v>
          </cell>
          <cell r="C365">
            <v>265</v>
          </cell>
          <cell r="D365" t="str">
            <v>PCS</v>
          </cell>
          <cell r="E365">
            <v>4</v>
          </cell>
          <cell r="F365">
            <v>1060</v>
          </cell>
          <cell r="G365">
            <v>0</v>
          </cell>
          <cell r="H365">
            <v>0</v>
          </cell>
          <cell r="I365">
            <v>0.5</v>
          </cell>
          <cell r="J365">
            <v>133</v>
          </cell>
          <cell r="K365">
            <v>4</v>
          </cell>
          <cell r="L365">
            <v>1060</v>
          </cell>
          <cell r="M365">
            <v>0</v>
          </cell>
          <cell r="N365">
            <v>0</v>
          </cell>
          <cell r="O365">
            <v>140</v>
          </cell>
          <cell r="P365">
            <v>37100</v>
          </cell>
        </row>
        <row r="366">
          <cell r="A366">
            <v>17</v>
          </cell>
          <cell r="B366" t="str">
            <v xml:space="preserve"> PVC CONDUIT, SCHEDULE B, CNS1302  3/4"</v>
          </cell>
          <cell r="C366">
            <v>265</v>
          </cell>
          <cell r="D366" t="str">
            <v>M</v>
          </cell>
          <cell r="E366">
            <v>12</v>
          </cell>
          <cell r="F366">
            <v>3180</v>
          </cell>
          <cell r="G366">
            <v>0</v>
          </cell>
          <cell r="H366">
            <v>0</v>
          </cell>
          <cell r="I366">
            <v>0.28000000000000003</v>
          </cell>
          <cell r="J366">
            <v>74</v>
          </cell>
          <cell r="K366">
            <v>12</v>
          </cell>
          <cell r="L366">
            <v>3180</v>
          </cell>
          <cell r="M366">
            <v>0</v>
          </cell>
          <cell r="N366">
            <v>0</v>
          </cell>
          <cell r="O366">
            <v>78</v>
          </cell>
          <cell r="P366">
            <v>20670</v>
          </cell>
        </row>
        <row r="367">
          <cell r="A367">
            <v>18</v>
          </cell>
          <cell r="B367" t="str">
            <v xml:space="preserve"> EXCAVATION</v>
          </cell>
          <cell r="C367">
            <v>1550</v>
          </cell>
          <cell r="D367" t="str">
            <v>M3</v>
          </cell>
          <cell r="E367" t="str">
            <v>M+L</v>
          </cell>
          <cell r="F367" t="str">
            <v>M+L</v>
          </cell>
          <cell r="G367">
            <v>0</v>
          </cell>
          <cell r="H367">
            <v>0</v>
          </cell>
          <cell r="I367">
            <v>7.0000000000000007E-2</v>
          </cell>
          <cell r="J367">
            <v>0</v>
          </cell>
          <cell r="K367" t="str">
            <v>M+L</v>
          </cell>
          <cell r="L367" t="str">
            <v>M+L</v>
          </cell>
          <cell r="M367">
            <v>0</v>
          </cell>
          <cell r="N367">
            <v>0</v>
          </cell>
          <cell r="O367">
            <v>72</v>
          </cell>
          <cell r="P367">
            <v>111600</v>
          </cell>
        </row>
        <row r="368">
          <cell r="A368">
            <v>19</v>
          </cell>
          <cell r="B368" t="str">
            <v xml:space="preserve"> BACKFILL</v>
          </cell>
          <cell r="C368">
            <v>1550</v>
          </cell>
          <cell r="D368" t="str">
            <v>M3</v>
          </cell>
          <cell r="E368" t="str">
            <v>M+L</v>
          </cell>
          <cell r="F368" t="str">
            <v>M+L</v>
          </cell>
          <cell r="G368">
            <v>0</v>
          </cell>
          <cell r="H368">
            <v>0</v>
          </cell>
          <cell r="I368">
            <v>7.0000000000000007E-2</v>
          </cell>
          <cell r="J368">
            <v>0</v>
          </cell>
          <cell r="K368" t="str">
            <v>M+L</v>
          </cell>
          <cell r="L368" t="str">
            <v>M+L</v>
          </cell>
          <cell r="M368">
            <v>0</v>
          </cell>
          <cell r="N368">
            <v>0</v>
          </cell>
          <cell r="O368">
            <v>120</v>
          </cell>
          <cell r="P368">
            <v>186000</v>
          </cell>
        </row>
        <row r="369">
          <cell r="A369">
            <v>20</v>
          </cell>
          <cell r="B369" t="str">
            <v xml:space="preserve"> MISCELLANEOUS MATERIALS</v>
          </cell>
          <cell r="C369">
            <v>1</v>
          </cell>
          <cell r="D369" t="str">
            <v>LOT</v>
          </cell>
          <cell r="E369">
            <v>82037.700000000012</v>
          </cell>
          <cell r="F369">
            <v>82038</v>
          </cell>
          <cell r="G369">
            <v>0</v>
          </cell>
          <cell r="H369">
            <v>0</v>
          </cell>
          <cell r="I369">
            <v>316.10000000000002</v>
          </cell>
          <cell r="J369">
            <v>316</v>
          </cell>
          <cell r="K369">
            <v>82038</v>
          </cell>
          <cell r="L369">
            <v>82038</v>
          </cell>
          <cell r="M369">
            <v>0</v>
          </cell>
          <cell r="N369">
            <v>0</v>
          </cell>
          <cell r="O369">
            <v>88508</v>
          </cell>
          <cell r="P369">
            <v>88508</v>
          </cell>
        </row>
        <row r="370">
          <cell r="B370" t="str">
            <v>SUB-TOTAL : (D)</v>
          </cell>
          <cell r="C370">
            <v>1</v>
          </cell>
          <cell r="D370">
            <v>3.38</v>
          </cell>
          <cell r="E370">
            <v>1</v>
          </cell>
          <cell r="F370">
            <v>902415</v>
          </cell>
          <cell r="G370">
            <v>0</v>
          </cell>
          <cell r="H370">
            <v>0</v>
          </cell>
          <cell r="I370">
            <v>0.12</v>
          </cell>
          <cell r="J370">
            <v>3477</v>
          </cell>
          <cell r="K370">
            <v>0</v>
          </cell>
          <cell r="L370">
            <v>902415</v>
          </cell>
          <cell r="M370">
            <v>0</v>
          </cell>
          <cell r="N370">
            <v>0</v>
          </cell>
          <cell r="O370">
            <v>0</v>
          </cell>
          <cell r="P370">
            <v>1266758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</row>
        <row r="373">
          <cell r="B373" t="str">
            <v>STD</v>
          </cell>
          <cell r="C373">
            <v>1.25</v>
          </cell>
          <cell r="D373" t="str">
            <v xml:space="preserve"> </v>
          </cell>
          <cell r="E373">
            <v>1</v>
          </cell>
          <cell r="F373">
            <v>0</v>
          </cell>
          <cell r="G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</row>
        <row r="374">
          <cell r="A374" t="str">
            <v>E.</v>
          </cell>
          <cell r="B374" t="str">
            <v>TELEPHONE SYSTEM(??????????)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G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</row>
        <row r="375">
          <cell r="A375">
            <v>1</v>
          </cell>
          <cell r="B375" t="str">
            <v>PABX , W/100 EXTENSION , 10 TRUNK LINE</v>
          </cell>
          <cell r="C375">
            <v>1</v>
          </cell>
          <cell r="D375" t="str">
            <v>SET</v>
          </cell>
          <cell r="E375">
            <v>380000</v>
          </cell>
          <cell r="F375">
            <v>380000</v>
          </cell>
          <cell r="G375">
            <v>0</v>
          </cell>
          <cell r="H375">
            <v>0</v>
          </cell>
          <cell r="I375">
            <v>40</v>
          </cell>
          <cell r="J375">
            <v>40</v>
          </cell>
          <cell r="K375">
            <v>380000</v>
          </cell>
          <cell r="L375">
            <v>380000</v>
          </cell>
          <cell r="M375">
            <v>0</v>
          </cell>
          <cell r="N375">
            <v>0</v>
          </cell>
          <cell r="O375">
            <v>11200</v>
          </cell>
          <cell r="P375">
            <v>11200</v>
          </cell>
        </row>
        <row r="376">
          <cell r="A376">
            <v>2</v>
          </cell>
          <cell r="B376" t="str">
            <v xml:space="preserve"> TELEPHONE CABLE, SOLID COPPER PVBC INSU. 5 PAIRS</v>
          </cell>
          <cell r="C376">
            <v>1300</v>
          </cell>
          <cell r="D376" t="str">
            <v>M</v>
          </cell>
          <cell r="E376">
            <v>14</v>
          </cell>
          <cell r="F376">
            <v>18200</v>
          </cell>
          <cell r="G376">
            <v>0</v>
          </cell>
          <cell r="H376">
            <v>0</v>
          </cell>
          <cell r="I376">
            <v>8.5999999999999993E-2</v>
          </cell>
          <cell r="J376">
            <v>112</v>
          </cell>
          <cell r="K376">
            <v>14</v>
          </cell>
          <cell r="L376">
            <v>18200</v>
          </cell>
          <cell r="M376">
            <v>0</v>
          </cell>
          <cell r="N376">
            <v>0</v>
          </cell>
          <cell r="O376">
            <v>24</v>
          </cell>
          <cell r="P376">
            <v>31200</v>
          </cell>
        </row>
        <row r="377">
          <cell r="A377">
            <v>3</v>
          </cell>
          <cell r="B377" t="str">
            <v xml:space="preserve"> DITTO, BUT 10 PAIRS</v>
          </cell>
          <cell r="C377">
            <v>250</v>
          </cell>
          <cell r="D377" t="str">
            <v>M</v>
          </cell>
          <cell r="E377">
            <v>30</v>
          </cell>
          <cell r="F377">
            <v>7500</v>
          </cell>
          <cell r="G377">
            <v>0</v>
          </cell>
          <cell r="H377">
            <v>0</v>
          </cell>
          <cell r="I377">
            <v>0.122</v>
          </cell>
          <cell r="J377">
            <v>31</v>
          </cell>
          <cell r="K377">
            <v>30</v>
          </cell>
          <cell r="L377">
            <v>7500</v>
          </cell>
          <cell r="M377">
            <v>0</v>
          </cell>
          <cell r="N377">
            <v>0</v>
          </cell>
          <cell r="O377">
            <v>34</v>
          </cell>
          <cell r="P377">
            <v>8500</v>
          </cell>
        </row>
        <row r="378">
          <cell r="A378">
            <v>4</v>
          </cell>
          <cell r="B378" t="str">
            <v xml:space="preserve"> DITTO, BUT 30 PAIRS</v>
          </cell>
          <cell r="C378">
            <v>300</v>
          </cell>
          <cell r="D378" t="str">
            <v>M</v>
          </cell>
          <cell r="E378">
            <v>80</v>
          </cell>
          <cell r="F378">
            <v>24000</v>
          </cell>
          <cell r="G378">
            <v>0</v>
          </cell>
          <cell r="H378">
            <v>0</v>
          </cell>
          <cell r="I378">
            <v>0.20599999999999999</v>
          </cell>
          <cell r="J378">
            <v>62</v>
          </cell>
          <cell r="K378">
            <v>80</v>
          </cell>
          <cell r="L378">
            <v>24000</v>
          </cell>
          <cell r="M378">
            <v>0</v>
          </cell>
          <cell r="N378">
            <v>0</v>
          </cell>
          <cell r="O378">
            <v>58</v>
          </cell>
          <cell r="P378">
            <v>17400</v>
          </cell>
        </row>
        <row r="379">
          <cell r="A379">
            <v>4</v>
          </cell>
          <cell r="B379" t="str">
            <v xml:space="preserve"> DITTO, BUT 50 PAIRS</v>
          </cell>
          <cell r="C379">
            <v>400</v>
          </cell>
          <cell r="D379" t="str">
            <v>M</v>
          </cell>
          <cell r="E379">
            <v>133</v>
          </cell>
          <cell r="F379">
            <v>53200</v>
          </cell>
          <cell r="G379">
            <v>0</v>
          </cell>
          <cell r="H379">
            <v>0</v>
          </cell>
          <cell r="I379">
            <v>0.25600000000000001</v>
          </cell>
          <cell r="J379">
            <v>102</v>
          </cell>
          <cell r="K379">
            <v>133</v>
          </cell>
          <cell r="L379">
            <v>53200</v>
          </cell>
          <cell r="M379">
            <v>0</v>
          </cell>
          <cell r="N379">
            <v>0</v>
          </cell>
          <cell r="O379">
            <v>72</v>
          </cell>
          <cell r="P379">
            <v>28800</v>
          </cell>
        </row>
        <row r="380">
          <cell r="A380">
            <v>5</v>
          </cell>
          <cell r="B380" t="str">
            <v xml:space="preserve"> MISCELLANEOUS MATERIALS</v>
          </cell>
          <cell r="C380">
            <v>1</v>
          </cell>
          <cell r="D380" t="str">
            <v>LOT</v>
          </cell>
          <cell r="E380">
            <v>10290</v>
          </cell>
          <cell r="F380">
            <v>10290</v>
          </cell>
          <cell r="G380">
            <v>0</v>
          </cell>
          <cell r="H380">
            <v>0</v>
          </cell>
          <cell r="I380">
            <v>105</v>
          </cell>
          <cell r="J380">
            <v>105</v>
          </cell>
          <cell r="K380">
            <v>10290</v>
          </cell>
          <cell r="L380">
            <v>10290</v>
          </cell>
          <cell r="M380">
            <v>0</v>
          </cell>
          <cell r="N380">
            <v>0</v>
          </cell>
          <cell r="O380">
            <v>29400</v>
          </cell>
          <cell r="P380">
            <v>29400</v>
          </cell>
        </row>
        <row r="381">
          <cell r="B381" t="str">
            <v>SUB-TOTAL : (E)</v>
          </cell>
          <cell r="C381">
            <v>2</v>
          </cell>
          <cell r="D381">
            <v>3.91</v>
          </cell>
          <cell r="E381">
            <v>1</v>
          </cell>
          <cell r="F381">
            <v>493190</v>
          </cell>
          <cell r="G381">
            <v>0</v>
          </cell>
          <cell r="H381">
            <v>0</v>
          </cell>
          <cell r="I381">
            <v>0.3</v>
          </cell>
          <cell r="J381">
            <v>452</v>
          </cell>
          <cell r="K381">
            <v>0</v>
          </cell>
          <cell r="L381">
            <v>493190</v>
          </cell>
          <cell r="M381">
            <v>0</v>
          </cell>
          <cell r="N381">
            <v>0</v>
          </cell>
          <cell r="O381">
            <v>0</v>
          </cell>
          <cell r="P381">
            <v>126500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0.25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0.3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</row>
        <row r="384">
          <cell r="A384" t="str">
            <v>F.</v>
          </cell>
          <cell r="B384" t="str">
            <v>PAGE/INTERCOMMUNICATION SYSTEM</v>
          </cell>
          <cell r="C384">
            <v>3.5</v>
          </cell>
          <cell r="D384" t="str">
            <v xml:space="preserve"> 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0.35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</row>
        <row r="385">
          <cell r="A385">
            <v>1</v>
          </cell>
          <cell r="B385" t="str">
            <v xml:space="preserve"> PAGE/PARTY STATION, SINGLE PARTY LINE</v>
          </cell>
          <cell r="C385">
            <v>10</v>
          </cell>
          <cell r="D385" t="str">
            <v>SET</v>
          </cell>
          <cell r="E385">
            <v>19700</v>
          </cell>
          <cell r="F385">
            <v>197000</v>
          </cell>
          <cell r="G385">
            <v>0</v>
          </cell>
          <cell r="H385">
            <v>0</v>
          </cell>
          <cell r="I385">
            <v>12</v>
          </cell>
          <cell r="J385">
            <v>120</v>
          </cell>
          <cell r="K385">
            <v>19700</v>
          </cell>
          <cell r="L385">
            <v>197000</v>
          </cell>
          <cell r="M385">
            <v>0</v>
          </cell>
          <cell r="N385">
            <v>0</v>
          </cell>
          <cell r="O385">
            <v>3360</v>
          </cell>
          <cell r="P385">
            <v>33600</v>
          </cell>
        </row>
        <row r="386">
          <cell r="B386" t="str">
            <v xml:space="preserve"> CL.1, DIV.2 , G-T #730-104 OR EQUAL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0.51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</row>
        <row r="387">
          <cell r="A387">
            <v>2</v>
          </cell>
          <cell r="B387" t="str">
            <v>DITTO, BUT INDOOR TYPE, G-T #700-102</v>
          </cell>
          <cell r="C387">
            <v>4</v>
          </cell>
          <cell r="D387" t="str">
            <v>SET</v>
          </cell>
          <cell r="E387">
            <v>17800</v>
          </cell>
          <cell r="F387">
            <v>71200</v>
          </cell>
          <cell r="G387">
            <v>0</v>
          </cell>
          <cell r="H387">
            <v>0</v>
          </cell>
          <cell r="I387">
            <v>10</v>
          </cell>
          <cell r="J387">
            <v>40</v>
          </cell>
          <cell r="K387">
            <v>17800</v>
          </cell>
          <cell r="L387">
            <v>71200</v>
          </cell>
          <cell r="M387">
            <v>0</v>
          </cell>
          <cell r="N387">
            <v>0</v>
          </cell>
          <cell r="O387">
            <v>2800</v>
          </cell>
          <cell r="P387">
            <v>11200</v>
          </cell>
        </row>
        <row r="388">
          <cell r="A388">
            <v>3</v>
          </cell>
          <cell r="B388" t="str">
            <v>DITTO, BUT DESK MOUNT. TYPE, G-T #726-102</v>
          </cell>
          <cell r="C388">
            <v>1</v>
          </cell>
          <cell r="D388" t="str">
            <v>SET</v>
          </cell>
          <cell r="E388">
            <v>23000</v>
          </cell>
          <cell r="F388">
            <v>23000</v>
          </cell>
          <cell r="G388">
            <v>0</v>
          </cell>
          <cell r="H388">
            <v>0</v>
          </cell>
          <cell r="I388">
            <v>12</v>
          </cell>
          <cell r="J388">
            <v>12</v>
          </cell>
          <cell r="K388">
            <v>23000</v>
          </cell>
          <cell r="L388">
            <v>23000</v>
          </cell>
          <cell r="M388">
            <v>0</v>
          </cell>
          <cell r="N388">
            <v>0</v>
          </cell>
          <cell r="O388">
            <v>3360</v>
          </cell>
          <cell r="P388">
            <v>3360</v>
          </cell>
        </row>
        <row r="389">
          <cell r="A389">
            <v>4</v>
          </cell>
          <cell r="B389" t="str">
            <v xml:space="preserve"> HOT DIPPED GALVANIZED STEEL SUPPORT, C100</v>
          </cell>
          <cell r="C389">
            <v>10</v>
          </cell>
          <cell r="D389" t="str">
            <v>SET</v>
          </cell>
          <cell r="E389">
            <v>1500</v>
          </cell>
          <cell r="F389">
            <v>15000</v>
          </cell>
          <cell r="G389">
            <v>0</v>
          </cell>
          <cell r="H389">
            <v>0</v>
          </cell>
          <cell r="I389">
            <v>4</v>
          </cell>
          <cell r="J389">
            <v>40</v>
          </cell>
          <cell r="K389">
            <v>1500</v>
          </cell>
          <cell r="L389">
            <v>15000</v>
          </cell>
          <cell r="M389">
            <v>0</v>
          </cell>
          <cell r="N389">
            <v>0</v>
          </cell>
          <cell r="O389">
            <v>1120</v>
          </cell>
          <cell r="P389">
            <v>11200</v>
          </cell>
        </row>
        <row r="390">
          <cell r="A390">
            <v>17</v>
          </cell>
          <cell r="B390" t="str">
            <v>3M LG., W/ SMALL FOUNDATION</v>
          </cell>
          <cell r="C390">
            <v>5.9091063153828709E-126</v>
          </cell>
          <cell r="D390" t="str">
            <v>LOT</v>
          </cell>
          <cell r="E390">
            <v>7.022705362587842E+52</v>
          </cell>
          <cell r="F390">
            <v>0</v>
          </cell>
          <cell r="G390">
            <v>0</v>
          </cell>
          <cell r="H390">
            <v>0</v>
          </cell>
          <cell r="I390">
            <v>1.22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</row>
        <row r="391">
          <cell r="A391">
            <v>5</v>
          </cell>
          <cell r="B391" t="str">
            <v xml:space="preserve"> DRIVER, W/MOLDED LEXAN FOR DIV. 2 G-T </v>
          </cell>
          <cell r="C391">
            <v>16</v>
          </cell>
          <cell r="D391" t="str">
            <v>SET</v>
          </cell>
          <cell r="E391">
            <v>3300</v>
          </cell>
          <cell r="F391">
            <v>52800</v>
          </cell>
          <cell r="G391">
            <v>0</v>
          </cell>
          <cell r="H391">
            <v>0</v>
          </cell>
          <cell r="I391">
            <v>3</v>
          </cell>
          <cell r="J391">
            <v>48</v>
          </cell>
          <cell r="K391">
            <v>3300</v>
          </cell>
          <cell r="L391">
            <v>52800</v>
          </cell>
          <cell r="M391">
            <v>0</v>
          </cell>
          <cell r="N391">
            <v>0</v>
          </cell>
          <cell r="O391">
            <v>840</v>
          </cell>
          <cell r="P391">
            <v>13440</v>
          </cell>
        </row>
        <row r="392">
          <cell r="B392" t="str">
            <v xml:space="preserve"> 13314-001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G392">
            <v>0</v>
          </cell>
          <cell r="H392">
            <v>0</v>
          </cell>
          <cell r="I392">
            <v>1.62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</row>
        <row r="393">
          <cell r="A393">
            <v>6</v>
          </cell>
          <cell r="B393" t="str">
            <v xml:space="preserve"> HORN SPEAKER W/ EPOXY G-T 13304-002</v>
          </cell>
          <cell r="C393">
            <v>16</v>
          </cell>
          <cell r="D393" t="str">
            <v>SET</v>
          </cell>
          <cell r="E393">
            <v>6000</v>
          </cell>
          <cell r="F393">
            <v>96000</v>
          </cell>
          <cell r="G393">
            <v>0</v>
          </cell>
          <cell r="H393">
            <v>0</v>
          </cell>
          <cell r="I393">
            <v>5</v>
          </cell>
          <cell r="J393">
            <v>80</v>
          </cell>
          <cell r="K393">
            <v>6000</v>
          </cell>
          <cell r="L393">
            <v>96000</v>
          </cell>
          <cell r="M393">
            <v>0</v>
          </cell>
          <cell r="N393">
            <v>0</v>
          </cell>
          <cell r="O393">
            <v>1400</v>
          </cell>
          <cell r="P393">
            <v>22400</v>
          </cell>
        </row>
        <row r="394">
          <cell r="B394" t="str">
            <v xml:space="preserve"> MOUNTING ASSEMBLY, G-T 411A1SPL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G394">
            <v>0</v>
          </cell>
          <cell r="H394">
            <v>0</v>
          </cell>
          <cell r="I394">
            <v>2.0299999999999998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</row>
        <row r="395">
          <cell r="A395">
            <v>7</v>
          </cell>
          <cell r="B395" t="str">
            <v xml:space="preserve"> LINE BALANCE UNIT G-T 305-001 OR EQUAL</v>
          </cell>
          <cell r="C395">
            <v>1</v>
          </cell>
          <cell r="D395" t="str">
            <v>SET</v>
          </cell>
          <cell r="E395">
            <v>2600</v>
          </cell>
          <cell r="F395">
            <v>2600</v>
          </cell>
          <cell r="G395">
            <v>4</v>
          </cell>
          <cell r="H395">
            <v>0</v>
          </cell>
          <cell r="I395">
            <v>4</v>
          </cell>
          <cell r="J395">
            <v>4</v>
          </cell>
          <cell r="K395">
            <v>2600</v>
          </cell>
          <cell r="L395">
            <v>2600</v>
          </cell>
          <cell r="M395">
            <v>0</v>
          </cell>
          <cell r="N395">
            <v>0</v>
          </cell>
          <cell r="O395">
            <v>1120</v>
          </cell>
          <cell r="P395">
            <v>1120</v>
          </cell>
        </row>
        <row r="396">
          <cell r="A396">
            <v>8</v>
          </cell>
          <cell r="B396" t="str">
            <v xml:space="preserve"> CABLE, OVERALL &amp; INDIVIDUAL SHIELDED, 300V 8P-#14AWG</v>
          </cell>
          <cell r="C396">
            <v>2700</v>
          </cell>
          <cell r="D396" t="str">
            <v>M</v>
          </cell>
          <cell r="E396">
            <v>137</v>
          </cell>
          <cell r="F396">
            <v>369900</v>
          </cell>
          <cell r="G396">
            <v>0</v>
          </cell>
          <cell r="H396">
            <v>0</v>
          </cell>
          <cell r="I396">
            <v>0.17799999999999999</v>
          </cell>
          <cell r="J396">
            <v>481</v>
          </cell>
          <cell r="K396">
            <v>137</v>
          </cell>
          <cell r="L396">
            <v>369900</v>
          </cell>
          <cell r="M396">
            <v>0</v>
          </cell>
          <cell r="N396">
            <v>0</v>
          </cell>
          <cell r="O396">
            <v>50</v>
          </cell>
          <cell r="P396">
            <v>135000</v>
          </cell>
        </row>
        <row r="397">
          <cell r="A397">
            <v>9</v>
          </cell>
          <cell r="B397" t="str">
            <v>XLPE CABLE 3C-3.5SQ.MM</v>
          </cell>
          <cell r="C397">
            <v>2800</v>
          </cell>
          <cell r="D397" t="str">
            <v>M</v>
          </cell>
          <cell r="E397">
            <v>15</v>
          </cell>
          <cell r="F397">
            <v>42000</v>
          </cell>
          <cell r="G397">
            <v>0</v>
          </cell>
          <cell r="H397">
            <v>0</v>
          </cell>
          <cell r="I397">
            <v>7.9000000000000001E-2</v>
          </cell>
          <cell r="J397">
            <v>221</v>
          </cell>
          <cell r="K397">
            <v>15</v>
          </cell>
          <cell r="L397">
            <v>42000</v>
          </cell>
          <cell r="M397">
            <v>0</v>
          </cell>
          <cell r="N397">
            <v>0</v>
          </cell>
          <cell r="O397">
            <v>22</v>
          </cell>
          <cell r="P397">
            <v>61600</v>
          </cell>
        </row>
        <row r="398">
          <cell r="A398">
            <v>10</v>
          </cell>
          <cell r="B398" t="str">
            <v xml:space="preserve"> SPEAKER CABLE, TWISTED PAIR #18 AWG</v>
          </cell>
          <cell r="C398">
            <v>50</v>
          </cell>
          <cell r="D398" t="str">
            <v>M</v>
          </cell>
          <cell r="E398">
            <v>12</v>
          </cell>
          <cell r="F398">
            <v>600</v>
          </cell>
          <cell r="G398">
            <v>0</v>
          </cell>
          <cell r="H398">
            <v>0</v>
          </cell>
          <cell r="I398">
            <v>6.2E-2</v>
          </cell>
          <cell r="J398">
            <v>3</v>
          </cell>
          <cell r="K398">
            <v>12</v>
          </cell>
          <cell r="L398">
            <v>600</v>
          </cell>
          <cell r="M398">
            <v>0</v>
          </cell>
          <cell r="N398">
            <v>0</v>
          </cell>
          <cell r="O398">
            <v>17</v>
          </cell>
          <cell r="P398">
            <v>850</v>
          </cell>
        </row>
        <row r="399">
          <cell r="A399">
            <v>11</v>
          </cell>
          <cell r="B399" t="str">
            <v>RSG CONDUIT, 2"</v>
          </cell>
          <cell r="C399">
            <v>100</v>
          </cell>
          <cell r="D399" t="str">
            <v>M</v>
          </cell>
          <cell r="E399">
            <v>105</v>
          </cell>
          <cell r="F399">
            <v>10500</v>
          </cell>
          <cell r="G399">
            <v>0</v>
          </cell>
          <cell r="H399">
            <v>0</v>
          </cell>
          <cell r="I399">
            <v>0.98</v>
          </cell>
          <cell r="J399">
            <v>98</v>
          </cell>
          <cell r="K399">
            <v>105</v>
          </cell>
          <cell r="L399">
            <v>10500</v>
          </cell>
          <cell r="M399">
            <v>0</v>
          </cell>
          <cell r="N399">
            <v>0</v>
          </cell>
          <cell r="O399">
            <v>274</v>
          </cell>
          <cell r="P399">
            <v>27400</v>
          </cell>
        </row>
        <row r="400">
          <cell r="A400">
            <v>12</v>
          </cell>
          <cell r="B400" t="str">
            <v>DITTO BUT 3/4"</v>
          </cell>
          <cell r="C400">
            <v>50</v>
          </cell>
          <cell r="D400" t="str">
            <v>M</v>
          </cell>
          <cell r="E400">
            <v>32</v>
          </cell>
          <cell r="F400">
            <v>1600</v>
          </cell>
          <cell r="G400">
            <v>0</v>
          </cell>
          <cell r="H400">
            <v>0</v>
          </cell>
          <cell r="I400">
            <v>0.47</v>
          </cell>
          <cell r="J400">
            <v>24</v>
          </cell>
          <cell r="K400">
            <v>32</v>
          </cell>
          <cell r="L400">
            <v>1600</v>
          </cell>
          <cell r="M400">
            <v>0</v>
          </cell>
          <cell r="N400">
            <v>0</v>
          </cell>
          <cell r="O400">
            <v>132</v>
          </cell>
          <cell r="P400">
            <v>6600</v>
          </cell>
        </row>
        <row r="401">
          <cell r="A401">
            <v>13</v>
          </cell>
          <cell r="B401" t="str">
            <v xml:space="preserve"> FLEXIBLE CONDUIT, 3/4", 1M LG, W/ TWO CONNECTOR</v>
          </cell>
          <cell r="C401">
            <v>16</v>
          </cell>
          <cell r="D401" t="str">
            <v>M</v>
          </cell>
          <cell r="E401">
            <v>81</v>
          </cell>
          <cell r="F401">
            <v>1296</v>
          </cell>
          <cell r="G401">
            <v>0</v>
          </cell>
          <cell r="H401">
            <v>0</v>
          </cell>
          <cell r="I401">
            <v>0.56000000000000005</v>
          </cell>
          <cell r="J401">
            <v>9</v>
          </cell>
          <cell r="K401">
            <v>81</v>
          </cell>
          <cell r="L401">
            <v>1296</v>
          </cell>
          <cell r="M401">
            <v>0</v>
          </cell>
          <cell r="N401">
            <v>0</v>
          </cell>
          <cell r="O401">
            <v>157</v>
          </cell>
          <cell r="P401">
            <v>2512</v>
          </cell>
        </row>
        <row r="402">
          <cell r="A402">
            <v>14</v>
          </cell>
          <cell r="B402" t="str">
            <v xml:space="preserve"> HOT DIPPED GALVANIZED CONDUIT FITTING, UNION,</v>
          </cell>
          <cell r="C402">
            <v>1</v>
          </cell>
          <cell r="D402" t="str">
            <v>LOT</v>
          </cell>
          <cell r="E402">
            <v>36300</v>
          </cell>
          <cell r="F402">
            <v>36300</v>
          </cell>
          <cell r="G402">
            <v>0</v>
          </cell>
          <cell r="H402">
            <v>0</v>
          </cell>
          <cell r="I402">
            <v>61</v>
          </cell>
          <cell r="J402">
            <v>61</v>
          </cell>
          <cell r="K402">
            <v>36300</v>
          </cell>
          <cell r="L402">
            <v>36300</v>
          </cell>
          <cell r="M402">
            <v>0</v>
          </cell>
          <cell r="N402">
            <v>0</v>
          </cell>
          <cell r="O402">
            <v>17080</v>
          </cell>
          <cell r="P402">
            <v>17080</v>
          </cell>
        </row>
        <row r="403">
          <cell r="B403" t="str">
            <v>SEALING FITTING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3.85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</row>
        <row r="404">
          <cell r="A404">
            <v>15</v>
          </cell>
          <cell r="B404" t="str">
            <v>HOT DIPPED GALVALNIZED STEEL U-CHANNEL 41x41x2.0t</v>
          </cell>
          <cell r="C404">
            <v>15</v>
          </cell>
          <cell r="D404" t="str">
            <v>M</v>
          </cell>
          <cell r="E404">
            <v>82</v>
          </cell>
          <cell r="F404">
            <v>1230</v>
          </cell>
          <cell r="G404">
            <v>0</v>
          </cell>
          <cell r="H404">
            <v>0</v>
          </cell>
          <cell r="I404">
            <v>0.40699999999999997</v>
          </cell>
          <cell r="J404">
            <v>6</v>
          </cell>
          <cell r="K404">
            <v>82</v>
          </cell>
          <cell r="L404">
            <v>1230</v>
          </cell>
          <cell r="M404">
            <v>0</v>
          </cell>
          <cell r="N404">
            <v>0</v>
          </cell>
          <cell r="O404">
            <v>114</v>
          </cell>
          <cell r="P404">
            <v>1710</v>
          </cell>
        </row>
        <row r="405">
          <cell r="A405">
            <v>16</v>
          </cell>
          <cell r="B405" t="str">
            <v>VHF PORTABLE MARINE BAND EXP-PROOF WALKY-TALKY</v>
          </cell>
          <cell r="C405">
            <v>2</v>
          </cell>
          <cell r="D405" t="str">
            <v>SET</v>
          </cell>
          <cell r="E405">
            <v>20000</v>
          </cell>
          <cell r="F405">
            <v>40000</v>
          </cell>
          <cell r="G405">
            <v>0</v>
          </cell>
          <cell r="H405">
            <v>0</v>
          </cell>
          <cell r="I405">
            <v>4.26</v>
          </cell>
          <cell r="J405">
            <v>0</v>
          </cell>
          <cell r="K405">
            <v>20000</v>
          </cell>
          <cell r="L405">
            <v>40000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</row>
        <row r="406">
          <cell r="A406">
            <v>17</v>
          </cell>
          <cell r="B406" t="str">
            <v xml:space="preserve"> MISCELLANEOUS MATERIALS </v>
          </cell>
          <cell r="C406">
            <v>1</v>
          </cell>
          <cell r="D406" t="str">
            <v>LOT</v>
          </cell>
          <cell r="E406">
            <v>48051.3</v>
          </cell>
          <cell r="F406">
            <v>48051</v>
          </cell>
          <cell r="G406">
            <v>0</v>
          </cell>
          <cell r="H406">
            <v>0</v>
          </cell>
          <cell r="I406">
            <v>62.35</v>
          </cell>
          <cell r="J406">
            <v>62</v>
          </cell>
          <cell r="K406">
            <v>48051</v>
          </cell>
          <cell r="L406">
            <v>48051</v>
          </cell>
          <cell r="M406">
            <v>0</v>
          </cell>
          <cell r="N406">
            <v>0</v>
          </cell>
          <cell r="O406">
            <v>17458</v>
          </cell>
          <cell r="P406">
            <v>17458</v>
          </cell>
        </row>
        <row r="407">
          <cell r="B407" t="str">
            <v>SUB-TOTAL : (F)</v>
          </cell>
          <cell r="C407">
            <v>46</v>
          </cell>
          <cell r="D407">
            <v>9.5299999999999994</v>
          </cell>
          <cell r="E407">
            <v>1</v>
          </cell>
          <cell r="F407">
            <v>1009077</v>
          </cell>
          <cell r="G407">
            <v>0</v>
          </cell>
          <cell r="H407">
            <v>0</v>
          </cell>
          <cell r="I407">
            <v>4.67</v>
          </cell>
          <cell r="J407">
            <v>1309</v>
          </cell>
          <cell r="K407">
            <v>0</v>
          </cell>
          <cell r="L407">
            <v>1009077</v>
          </cell>
          <cell r="M407">
            <v>0</v>
          </cell>
          <cell r="N407">
            <v>0</v>
          </cell>
          <cell r="O407">
            <v>0</v>
          </cell>
          <cell r="P407">
            <v>366530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4.87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</row>
        <row r="410">
          <cell r="A410" t="str">
            <v>G.</v>
          </cell>
          <cell r="B410" t="str">
            <v>CCTV SYSTEM</v>
          </cell>
          <cell r="C410">
            <v>0.125</v>
          </cell>
          <cell r="D410" t="str">
            <v xml:space="preserve"> </v>
          </cell>
          <cell r="E410">
            <v>1</v>
          </cell>
          <cell r="F410">
            <v>0</v>
          </cell>
          <cell r="G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</row>
        <row r="411">
          <cell r="A411">
            <v>1</v>
          </cell>
          <cell r="B411" t="str">
            <v xml:space="preserve"> 20" BLACK-AND-WHITE VEDIO MONITOR,  </v>
          </cell>
          <cell r="C411">
            <v>1</v>
          </cell>
          <cell r="D411" t="str">
            <v>SET</v>
          </cell>
          <cell r="E411">
            <v>9450</v>
          </cell>
          <cell r="F411">
            <v>9450</v>
          </cell>
          <cell r="G411">
            <v>0</v>
          </cell>
          <cell r="H411">
            <v>0</v>
          </cell>
          <cell r="I411">
            <v>4</v>
          </cell>
          <cell r="J411">
            <v>4</v>
          </cell>
          <cell r="K411">
            <v>9450</v>
          </cell>
          <cell r="L411">
            <v>9450</v>
          </cell>
          <cell r="M411">
            <v>0</v>
          </cell>
          <cell r="N411">
            <v>0</v>
          </cell>
          <cell r="O411">
            <v>1120</v>
          </cell>
          <cell r="P411">
            <v>1120</v>
          </cell>
        </row>
        <row r="412">
          <cell r="A412">
            <v>2</v>
          </cell>
          <cell r="B412" t="str">
            <v xml:space="preserve"> BLACK-AND-WHITE CAMERA,1/2 CCD</v>
          </cell>
          <cell r="C412">
            <v>6</v>
          </cell>
          <cell r="D412" t="str">
            <v>SET</v>
          </cell>
          <cell r="E412">
            <v>8100</v>
          </cell>
          <cell r="F412">
            <v>48600</v>
          </cell>
          <cell r="G412">
            <v>0</v>
          </cell>
          <cell r="H412">
            <v>0</v>
          </cell>
          <cell r="I412">
            <v>8</v>
          </cell>
          <cell r="J412">
            <v>48</v>
          </cell>
          <cell r="K412">
            <v>8100</v>
          </cell>
          <cell r="L412">
            <v>48600</v>
          </cell>
          <cell r="M412">
            <v>0</v>
          </cell>
          <cell r="N412">
            <v>0</v>
          </cell>
          <cell r="O412">
            <v>2240</v>
          </cell>
          <cell r="P412">
            <v>13440</v>
          </cell>
        </row>
        <row r="413">
          <cell r="A413">
            <v>3</v>
          </cell>
          <cell r="B413" t="str">
            <v xml:space="preserve"> MOTORIZED LENS, 10X, AUTO IRIS/FOCUS</v>
          </cell>
          <cell r="C413">
            <v>2</v>
          </cell>
          <cell r="D413" t="str">
            <v>PCS</v>
          </cell>
          <cell r="E413">
            <v>18900</v>
          </cell>
          <cell r="F413">
            <v>37800</v>
          </cell>
          <cell r="G413">
            <v>0</v>
          </cell>
          <cell r="H413">
            <v>0</v>
          </cell>
          <cell r="I413">
            <v>2</v>
          </cell>
          <cell r="J413">
            <v>4</v>
          </cell>
          <cell r="K413">
            <v>18900</v>
          </cell>
          <cell r="L413">
            <v>37800</v>
          </cell>
          <cell r="M413">
            <v>0</v>
          </cell>
          <cell r="N413">
            <v>0</v>
          </cell>
          <cell r="O413">
            <v>560</v>
          </cell>
          <cell r="P413">
            <v>1120</v>
          </cell>
        </row>
        <row r="414">
          <cell r="A414">
            <v>4</v>
          </cell>
          <cell r="B414" t="str">
            <v xml:space="preserve"> FIXED LENS, AUTO IRIS 16 mm, </v>
          </cell>
          <cell r="C414">
            <v>4</v>
          </cell>
          <cell r="D414" t="str">
            <v>PCS</v>
          </cell>
          <cell r="E414">
            <v>4050</v>
          </cell>
          <cell r="F414">
            <v>16200</v>
          </cell>
          <cell r="G414">
            <v>0</v>
          </cell>
          <cell r="H414">
            <v>0</v>
          </cell>
          <cell r="I414">
            <v>2</v>
          </cell>
          <cell r="J414">
            <v>8</v>
          </cell>
          <cell r="K414">
            <v>4050</v>
          </cell>
          <cell r="L414">
            <v>16200</v>
          </cell>
          <cell r="M414">
            <v>0</v>
          </cell>
          <cell r="N414">
            <v>0</v>
          </cell>
          <cell r="O414">
            <v>560</v>
          </cell>
          <cell r="P414">
            <v>2240</v>
          </cell>
        </row>
        <row r="415">
          <cell r="A415">
            <v>5</v>
          </cell>
          <cell r="B415" t="str">
            <v xml:space="preserve"> EXPLOSION ROOF HOUSING</v>
          </cell>
          <cell r="C415">
            <v>4</v>
          </cell>
          <cell r="D415" t="str">
            <v>SET</v>
          </cell>
          <cell r="E415">
            <v>148500</v>
          </cell>
          <cell r="F415">
            <v>594000</v>
          </cell>
          <cell r="G415">
            <v>0</v>
          </cell>
          <cell r="H415">
            <v>0</v>
          </cell>
          <cell r="I415">
            <v>8</v>
          </cell>
          <cell r="J415">
            <v>32</v>
          </cell>
          <cell r="K415">
            <v>148500</v>
          </cell>
          <cell r="L415">
            <v>594000</v>
          </cell>
          <cell r="M415">
            <v>0</v>
          </cell>
          <cell r="N415">
            <v>0</v>
          </cell>
          <cell r="O415">
            <v>2240</v>
          </cell>
          <cell r="P415">
            <v>8960</v>
          </cell>
        </row>
        <row r="416">
          <cell r="A416">
            <v>6</v>
          </cell>
          <cell r="B416" t="str">
            <v>WEATHER PROOF HOUSING</v>
          </cell>
          <cell r="C416">
            <v>2</v>
          </cell>
          <cell r="D416" t="str">
            <v>SET</v>
          </cell>
          <cell r="E416">
            <v>49500</v>
          </cell>
          <cell r="F416">
            <v>99000</v>
          </cell>
          <cell r="G416">
            <v>0</v>
          </cell>
          <cell r="H416">
            <v>0</v>
          </cell>
          <cell r="I416">
            <v>6</v>
          </cell>
          <cell r="J416">
            <v>12</v>
          </cell>
          <cell r="K416">
            <v>49500</v>
          </cell>
          <cell r="L416">
            <v>99000</v>
          </cell>
          <cell r="M416">
            <v>0</v>
          </cell>
          <cell r="N416">
            <v>0</v>
          </cell>
          <cell r="O416">
            <v>1680</v>
          </cell>
          <cell r="P416">
            <v>3360</v>
          </cell>
        </row>
        <row r="417">
          <cell r="A417">
            <v>7</v>
          </cell>
          <cell r="B417" t="str">
            <v xml:space="preserve"> PAN-AND-TILT DRIVER, CL.1 DIV.2</v>
          </cell>
          <cell r="C417">
            <v>2</v>
          </cell>
          <cell r="D417" t="str">
            <v>SET</v>
          </cell>
          <cell r="E417">
            <v>148500</v>
          </cell>
          <cell r="F417">
            <v>297000</v>
          </cell>
          <cell r="G417">
            <v>0</v>
          </cell>
          <cell r="H417">
            <v>0</v>
          </cell>
          <cell r="I417">
            <v>8</v>
          </cell>
          <cell r="J417">
            <v>16</v>
          </cell>
          <cell r="K417">
            <v>148500</v>
          </cell>
          <cell r="L417">
            <v>297000</v>
          </cell>
          <cell r="M417">
            <v>0</v>
          </cell>
          <cell r="N417">
            <v>0</v>
          </cell>
          <cell r="O417">
            <v>2240</v>
          </cell>
          <cell r="P417">
            <v>4480</v>
          </cell>
        </row>
        <row r="418">
          <cell r="A418">
            <v>8</v>
          </cell>
          <cell r="B418" t="str">
            <v>24 hr  VCR</v>
          </cell>
          <cell r="C418">
            <v>1</v>
          </cell>
          <cell r="D418" t="str">
            <v>SET</v>
          </cell>
          <cell r="E418">
            <v>45000</v>
          </cell>
          <cell r="F418">
            <v>45000</v>
          </cell>
          <cell r="G418">
            <v>0</v>
          </cell>
          <cell r="H418">
            <v>0</v>
          </cell>
          <cell r="I418">
            <v>8</v>
          </cell>
          <cell r="J418">
            <v>8</v>
          </cell>
          <cell r="K418">
            <v>45000</v>
          </cell>
          <cell r="L418">
            <v>45000</v>
          </cell>
          <cell r="M418">
            <v>0</v>
          </cell>
          <cell r="N418">
            <v>0</v>
          </cell>
          <cell r="O418">
            <v>2240</v>
          </cell>
          <cell r="P418">
            <v>2240</v>
          </cell>
        </row>
        <row r="419">
          <cell r="A419">
            <v>9</v>
          </cell>
          <cell r="B419" t="str">
            <v>CONTROL SIGNAL DISTRIBUTION UNIT, 5 CHANNEL</v>
          </cell>
          <cell r="C419">
            <v>1</v>
          </cell>
          <cell r="D419" t="str">
            <v>SET</v>
          </cell>
          <cell r="E419">
            <v>45000</v>
          </cell>
          <cell r="F419">
            <v>45000</v>
          </cell>
          <cell r="G419">
            <v>0</v>
          </cell>
          <cell r="H419">
            <v>0</v>
          </cell>
          <cell r="I419">
            <v>8</v>
          </cell>
          <cell r="J419">
            <v>8</v>
          </cell>
          <cell r="K419">
            <v>45000</v>
          </cell>
          <cell r="L419">
            <v>45000</v>
          </cell>
          <cell r="M419">
            <v>0</v>
          </cell>
          <cell r="N419">
            <v>0</v>
          </cell>
          <cell r="O419">
            <v>2240</v>
          </cell>
          <cell r="P419">
            <v>2240</v>
          </cell>
        </row>
        <row r="420">
          <cell r="A420">
            <v>10</v>
          </cell>
          <cell r="B420" t="str">
            <v>VEDIO MULTIPLEXER, 9-CHANNEL</v>
          </cell>
          <cell r="C420">
            <v>1</v>
          </cell>
          <cell r="D420" t="str">
            <v>SET</v>
          </cell>
          <cell r="E420">
            <v>32000</v>
          </cell>
          <cell r="F420">
            <v>32000</v>
          </cell>
          <cell r="G420">
            <v>0</v>
          </cell>
          <cell r="H420">
            <v>0</v>
          </cell>
          <cell r="I420">
            <v>20</v>
          </cell>
          <cell r="J420">
            <v>20</v>
          </cell>
          <cell r="K420">
            <v>32000</v>
          </cell>
          <cell r="L420">
            <v>32000</v>
          </cell>
          <cell r="M420">
            <v>0</v>
          </cell>
          <cell r="N420">
            <v>0</v>
          </cell>
          <cell r="O420">
            <v>5600</v>
          </cell>
          <cell r="P420">
            <v>5600</v>
          </cell>
        </row>
        <row r="421">
          <cell r="A421">
            <v>11</v>
          </cell>
          <cell r="B421" t="str">
            <v xml:space="preserve"> VIDEO COXIAL CABLE, PWC 7C2V OR EQUAL</v>
          </cell>
          <cell r="C421">
            <v>2000</v>
          </cell>
          <cell r="D421" t="str">
            <v>M</v>
          </cell>
          <cell r="E421">
            <v>16</v>
          </cell>
          <cell r="F421">
            <v>32000</v>
          </cell>
          <cell r="G421">
            <v>0</v>
          </cell>
          <cell r="H421">
            <v>0</v>
          </cell>
          <cell r="I421">
            <v>0.1</v>
          </cell>
          <cell r="J421">
            <v>200</v>
          </cell>
          <cell r="K421">
            <v>16</v>
          </cell>
          <cell r="L421">
            <v>32000</v>
          </cell>
          <cell r="M421">
            <v>0</v>
          </cell>
          <cell r="N421">
            <v>0</v>
          </cell>
          <cell r="O421">
            <v>28</v>
          </cell>
          <cell r="P421">
            <v>56000</v>
          </cell>
        </row>
        <row r="422">
          <cell r="A422">
            <v>12</v>
          </cell>
          <cell r="B422" t="str">
            <v>SHIELDED CABLE, 8C-1.25 SQ.MM</v>
          </cell>
          <cell r="C422">
            <v>1600</v>
          </cell>
          <cell r="D422" t="str">
            <v>M</v>
          </cell>
          <cell r="E422">
            <v>32</v>
          </cell>
          <cell r="F422">
            <v>51200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112</v>
          </cell>
          <cell r="K422">
            <v>32</v>
          </cell>
          <cell r="L422">
            <v>51200</v>
          </cell>
          <cell r="M422">
            <v>0</v>
          </cell>
          <cell r="N422">
            <v>0</v>
          </cell>
          <cell r="O422">
            <v>20</v>
          </cell>
          <cell r="P422">
            <v>32000</v>
          </cell>
        </row>
        <row r="423">
          <cell r="A423">
            <v>13</v>
          </cell>
          <cell r="B423" t="str">
            <v>600V XLPE CABLE, 3C-5.5 SQ.MM</v>
          </cell>
          <cell r="C423">
            <v>1500</v>
          </cell>
          <cell r="D423" t="str">
            <v>M</v>
          </cell>
          <cell r="E423">
            <v>20</v>
          </cell>
          <cell r="F423">
            <v>30000</v>
          </cell>
          <cell r="G423">
            <v>0</v>
          </cell>
          <cell r="H423">
            <v>0</v>
          </cell>
          <cell r="I423">
            <v>0.1</v>
          </cell>
          <cell r="J423">
            <v>150</v>
          </cell>
          <cell r="K423">
            <v>20</v>
          </cell>
          <cell r="L423">
            <v>30000</v>
          </cell>
          <cell r="M423">
            <v>0</v>
          </cell>
          <cell r="N423">
            <v>0</v>
          </cell>
          <cell r="O423">
            <v>28</v>
          </cell>
          <cell r="P423">
            <v>42000</v>
          </cell>
        </row>
        <row r="424">
          <cell r="A424">
            <v>14</v>
          </cell>
          <cell r="B424" t="str">
            <v xml:space="preserve">JUNCTION BOX CL.1 DIV.2 GROUP D 250L x 250W x 150D </v>
          </cell>
          <cell r="C424">
            <v>4</v>
          </cell>
          <cell r="D424" t="str">
            <v>SET</v>
          </cell>
          <cell r="E424">
            <v>8000</v>
          </cell>
          <cell r="F424">
            <v>32000</v>
          </cell>
          <cell r="G424">
            <v>0</v>
          </cell>
          <cell r="H424">
            <v>0</v>
          </cell>
          <cell r="I424">
            <v>4</v>
          </cell>
          <cell r="J424">
            <v>16</v>
          </cell>
          <cell r="K424">
            <v>8000</v>
          </cell>
          <cell r="L424">
            <v>32000</v>
          </cell>
          <cell r="M424">
            <v>0</v>
          </cell>
          <cell r="N424">
            <v>0</v>
          </cell>
          <cell r="O424">
            <v>1120</v>
          </cell>
          <cell r="P424">
            <v>4480</v>
          </cell>
        </row>
        <row r="425">
          <cell r="A425">
            <v>15</v>
          </cell>
          <cell r="B425" t="str">
            <v xml:space="preserve">JUNCTION BOX WEATHER PROOF 250L x 250W x 150D </v>
          </cell>
          <cell r="C425">
            <v>2</v>
          </cell>
          <cell r="D425" t="str">
            <v>SET</v>
          </cell>
          <cell r="E425">
            <v>4000</v>
          </cell>
          <cell r="F425">
            <v>8000</v>
          </cell>
          <cell r="G425">
            <v>0</v>
          </cell>
          <cell r="H425">
            <v>0</v>
          </cell>
          <cell r="I425">
            <v>3</v>
          </cell>
          <cell r="J425">
            <v>6</v>
          </cell>
          <cell r="K425">
            <v>4000</v>
          </cell>
          <cell r="L425">
            <v>8000</v>
          </cell>
          <cell r="M425">
            <v>0</v>
          </cell>
          <cell r="N425">
            <v>0</v>
          </cell>
          <cell r="O425">
            <v>840</v>
          </cell>
          <cell r="P425">
            <v>1680</v>
          </cell>
        </row>
        <row r="426">
          <cell r="A426">
            <v>16</v>
          </cell>
          <cell r="B426" t="str">
            <v>RSG CONDUIT, 2"</v>
          </cell>
          <cell r="C426">
            <v>250</v>
          </cell>
          <cell r="D426" t="str">
            <v>M</v>
          </cell>
          <cell r="E426">
            <v>105</v>
          </cell>
          <cell r="F426">
            <v>26250</v>
          </cell>
          <cell r="G426">
            <v>0</v>
          </cell>
          <cell r="H426">
            <v>0</v>
          </cell>
          <cell r="I426">
            <v>0.98</v>
          </cell>
          <cell r="J426">
            <v>245</v>
          </cell>
          <cell r="K426">
            <v>105</v>
          </cell>
          <cell r="L426">
            <v>26250</v>
          </cell>
          <cell r="M426">
            <v>0</v>
          </cell>
          <cell r="N426">
            <v>0</v>
          </cell>
          <cell r="O426">
            <v>274</v>
          </cell>
          <cell r="P426">
            <v>68500</v>
          </cell>
        </row>
        <row r="427">
          <cell r="A427">
            <v>17</v>
          </cell>
          <cell r="B427" t="str">
            <v>HOT DIPPED GALVALNIZED STEEL U-CHANNEL 41x41x2.0t</v>
          </cell>
          <cell r="C427">
            <v>15</v>
          </cell>
          <cell r="D427" t="str">
            <v>M</v>
          </cell>
          <cell r="E427">
            <v>82</v>
          </cell>
          <cell r="F427">
            <v>1230</v>
          </cell>
          <cell r="G427">
            <v>0</v>
          </cell>
          <cell r="H427">
            <v>0</v>
          </cell>
          <cell r="I427">
            <v>0.40699999999999997</v>
          </cell>
          <cell r="J427">
            <v>6</v>
          </cell>
          <cell r="K427">
            <v>82</v>
          </cell>
          <cell r="L427">
            <v>1230</v>
          </cell>
          <cell r="M427">
            <v>0</v>
          </cell>
          <cell r="N427">
            <v>0</v>
          </cell>
          <cell r="O427">
            <v>114</v>
          </cell>
          <cell r="P427">
            <v>1710</v>
          </cell>
        </row>
        <row r="428">
          <cell r="A428">
            <v>18</v>
          </cell>
          <cell r="B428" t="str">
            <v xml:space="preserve">CAMERA SUPPORT, HOT DIPPED GALVANIZED STEEL </v>
          </cell>
          <cell r="C428">
            <v>4</v>
          </cell>
          <cell r="D428" t="str">
            <v>SET</v>
          </cell>
          <cell r="E428">
            <v>8100</v>
          </cell>
          <cell r="F428">
            <v>32400</v>
          </cell>
          <cell r="G428">
            <v>0</v>
          </cell>
          <cell r="H428">
            <v>0</v>
          </cell>
          <cell r="I428">
            <v>4</v>
          </cell>
          <cell r="J428">
            <v>16</v>
          </cell>
          <cell r="K428">
            <v>8100</v>
          </cell>
          <cell r="L428">
            <v>32400</v>
          </cell>
          <cell r="M428">
            <v>0</v>
          </cell>
          <cell r="N428">
            <v>0</v>
          </cell>
          <cell r="O428">
            <v>1120</v>
          </cell>
          <cell r="P428">
            <v>4480</v>
          </cell>
        </row>
        <row r="429">
          <cell r="B429" t="str">
            <v>W/ COATING, WALL MOUNT. TYPE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</row>
        <row r="430">
          <cell r="A430">
            <v>19</v>
          </cell>
          <cell r="B430" t="str">
            <v xml:space="preserve">CAMERA SUPPORT, HOT DIPPED GALVANIZED STEEL </v>
          </cell>
          <cell r="C430">
            <v>6</v>
          </cell>
          <cell r="D430" t="str">
            <v>SET</v>
          </cell>
          <cell r="E430">
            <v>14000</v>
          </cell>
          <cell r="F430">
            <v>84000</v>
          </cell>
          <cell r="G430">
            <v>0</v>
          </cell>
          <cell r="H430">
            <v>0</v>
          </cell>
          <cell r="I430">
            <v>20</v>
          </cell>
          <cell r="J430">
            <v>120</v>
          </cell>
          <cell r="K430">
            <v>14000</v>
          </cell>
          <cell r="L430">
            <v>84000</v>
          </cell>
          <cell r="M430">
            <v>0</v>
          </cell>
          <cell r="N430">
            <v>0</v>
          </cell>
          <cell r="O430">
            <v>5600</v>
          </cell>
          <cell r="P430">
            <v>33600</v>
          </cell>
        </row>
        <row r="431">
          <cell r="B431" t="str">
            <v>W/ COATING, STANCHION TYPE, 3M H , W/FUNDATION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G431">
            <v>0</v>
          </cell>
          <cell r="H431">
            <v>0</v>
          </cell>
          <cell r="I431">
            <v>0.15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</row>
        <row r="432">
          <cell r="A432">
            <v>20</v>
          </cell>
          <cell r="B432" t="str">
            <v xml:space="preserve"> HOT DIPPED GALVANIZED CONDUIT FITTING, UNION,</v>
          </cell>
          <cell r="C432">
            <v>1</v>
          </cell>
          <cell r="D432" t="str">
            <v>LOT</v>
          </cell>
          <cell r="E432">
            <v>78750</v>
          </cell>
          <cell r="F432">
            <v>78750</v>
          </cell>
          <cell r="G432">
            <v>0</v>
          </cell>
          <cell r="H432">
            <v>0</v>
          </cell>
          <cell r="I432">
            <v>122.5</v>
          </cell>
          <cell r="J432">
            <v>123</v>
          </cell>
          <cell r="K432">
            <v>78750</v>
          </cell>
          <cell r="L432">
            <v>78750</v>
          </cell>
          <cell r="M432">
            <v>0</v>
          </cell>
          <cell r="N432">
            <v>0</v>
          </cell>
          <cell r="O432">
            <v>34300</v>
          </cell>
          <cell r="P432">
            <v>34300</v>
          </cell>
        </row>
        <row r="433">
          <cell r="B433" t="str">
            <v>SEALING FITTING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G433">
            <v>0</v>
          </cell>
          <cell r="H433">
            <v>0</v>
          </cell>
          <cell r="I433">
            <v>0.2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</row>
        <row r="434">
          <cell r="A434">
            <v>21</v>
          </cell>
          <cell r="B434" t="str">
            <v>FIBER OPTIC CABLE CABLE , 1 FIBERS</v>
          </cell>
          <cell r="C434">
            <v>1250</v>
          </cell>
          <cell r="D434" t="str">
            <v>M</v>
          </cell>
          <cell r="E434">
            <v>38</v>
          </cell>
          <cell r="F434">
            <v>47500</v>
          </cell>
          <cell r="G434">
            <v>0</v>
          </cell>
          <cell r="H434">
            <v>0</v>
          </cell>
          <cell r="I434">
            <v>0.1</v>
          </cell>
          <cell r="J434">
            <v>125</v>
          </cell>
          <cell r="K434">
            <v>38</v>
          </cell>
          <cell r="L434">
            <v>47500</v>
          </cell>
          <cell r="M434">
            <v>0</v>
          </cell>
          <cell r="N434">
            <v>0</v>
          </cell>
          <cell r="O434">
            <v>28</v>
          </cell>
          <cell r="P434">
            <v>35000</v>
          </cell>
        </row>
        <row r="435">
          <cell r="A435">
            <v>22</v>
          </cell>
          <cell r="B435" t="str">
            <v>FIBER OPTIC VIDEO SIGNAL RECEIVER</v>
          </cell>
          <cell r="C435">
            <v>1</v>
          </cell>
          <cell r="D435" t="str">
            <v>SET</v>
          </cell>
          <cell r="E435">
            <v>23400</v>
          </cell>
          <cell r="F435">
            <v>23400</v>
          </cell>
          <cell r="G435">
            <v>0</v>
          </cell>
          <cell r="H435">
            <v>0</v>
          </cell>
          <cell r="I435">
            <v>4</v>
          </cell>
          <cell r="J435">
            <v>4</v>
          </cell>
          <cell r="K435">
            <v>23400</v>
          </cell>
          <cell r="L435">
            <v>23400</v>
          </cell>
          <cell r="M435">
            <v>0</v>
          </cell>
          <cell r="N435">
            <v>0</v>
          </cell>
          <cell r="O435">
            <v>1120</v>
          </cell>
          <cell r="P435">
            <v>1120</v>
          </cell>
        </row>
        <row r="436">
          <cell r="A436">
            <v>23</v>
          </cell>
          <cell r="B436" t="str">
            <v>FIBER OPTIC VIDEO SIGNAL TRANSMITER</v>
          </cell>
          <cell r="C436">
            <v>1</v>
          </cell>
          <cell r="D436" t="str">
            <v>SET</v>
          </cell>
          <cell r="E436">
            <v>25200</v>
          </cell>
          <cell r="F436">
            <v>25200</v>
          </cell>
          <cell r="G436">
            <v>0</v>
          </cell>
          <cell r="H436">
            <v>0</v>
          </cell>
          <cell r="I436">
            <v>4</v>
          </cell>
          <cell r="J436">
            <v>4</v>
          </cell>
          <cell r="K436">
            <v>25200</v>
          </cell>
          <cell r="L436">
            <v>25200</v>
          </cell>
          <cell r="M436">
            <v>0</v>
          </cell>
          <cell r="N436">
            <v>0</v>
          </cell>
          <cell r="O436">
            <v>1120</v>
          </cell>
          <cell r="P436">
            <v>1120</v>
          </cell>
        </row>
        <row r="437">
          <cell r="A437">
            <v>24</v>
          </cell>
          <cell r="B437" t="str">
            <v xml:space="preserve"> MISCELLANEOUS MATERIALS</v>
          </cell>
          <cell r="C437">
            <v>1</v>
          </cell>
          <cell r="D437" t="str">
            <v>LOT</v>
          </cell>
          <cell r="E437">
            <v>50879.4</v>
          </cell>
          <cell r="F437">
            <v>50879</v>
          </cell>
          <cell r="G437">
            <v>0</v>
          </cell>
          <cell r="H437">
            <v>0</v>
          </cell>
          <cell r="I437">
            <v>38.61</v>
          </cell>
          <cell r="J437">
            <v>39</v>
          </cell>
          <cell r="K437">
            <v>50879</v>
          </cell>
          <cell r="L437">
            <v>50879</v>
          </cell>
          <cell r="M437">
            <v>0</v>
          </cell>
          <cell r="N437">
            <v>0</v>
          </cell>
          <cell r="O437">
            <v>10811</v>
          </cell>
          <cell r="P437">
            <v>10811</v>
          </cell>
        </row>
        <row r="438">
          <cell r="B438" t="str">
            <v>SUB-TOTAL : (G)</v>
          </cell>
          <cell r="C438">
            <v>3.5</v>
          </cell>
          <cell r="D438">
            <v>8.08</v>
          </cell>
          <cell r="E438">
            <v>1</v>
          </cell>
          <cell r="F438">
            <v>1746859</v>
          </cell>
          <cell r="G438">
            <v>0</v>
          </cell>
          <cell r="H438">
            <v>0</v>
          </cell>
          <cell r="I438">
            <v>0.10000023841857911</v>
          </cell>
          <cell r="J438">
            <v>1326</v>
          </cell>
          <cell r="K438">
            <v>0</v>
          </cell>
          <cell r="L438">
            <v>1746859</v>
          </cell>
          <cell r="M438">
            <v>0</v>
          </cell>
          <cell r="N438">
            <v>0</v>
          </cell>
          <cell r="O438">
            <v>0</v>
          </cell>
          <cell r="P438">
            <v>371601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0.41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</row>
        <row r="441">
          <cell r="A441" t="str">
            <v>H.</v>
          </cell>
          <cell r="B441" t="str">
            <v xml:space="preserve"> CATHODIC PROTECTION SYSTEM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G441">
            <v>0</v>
          </cell>
          <cell r="H441">
            <v>0</v>
          </cell>
          <cell r="I441">
            <v>0.61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</row>
        <row r="442">
          <cell r="A442">
            <v>1</v>
          </cell>
          <cell r="B442" t="str">
            <v>40LB??????</v>
          </cell>
          <cell r="C442">
            <v>60</v>
          </cell>
          <cell r="D442" t="str">
            <v>SET</v>
          </cell>
          <cell r="E442">
            <v>8000</v>
          </cell>
          <cell r="F442">
            <v>480000</v>
          </cell>
          <cell r="G442">
            <v>0</v>
          </cell>
          <cell r="H442">
            <v>0</v>
          </cell>
          <cell r="I442">
            <v>9</v>
          </cell>
          <cell r="J442">
            <v>540</v>
          </cell>
          <cell r="K442">
            <v>8000</v>
          </cell>
          <cell r="L442">
            <v>480000</v>
          </cell>
          <cell r="M442">
            <v>0</v>
          </cell>
          <cell r="N442">
            <v>0</v>
          </cell>
          <cell r="O442">
            <v>2520</v>
          </cell>
          <cell r="P442">
            <v>151200</v>
          </cell>
        </row>
        <row r="443">
          <cell r="A443">
            <v>2</v>
          </cell>
          <cell r="B443" t="str">
            <v xml:space="preserve">ZINC GROUNDING CELL, FOUR ANODE UNITS WITH </v>
          </cell>
          <cell r="C443">
            <v>5</v>
          </cell>
          <cell r="D443" t="str">
            <v>SET</v>
          </cell>
          <cell r="E443">
            <v>14000</v>
          </cell>
          <cell r="F443">
            <v>70000</v>
          </cell>
          <cell r="G443">
            <v>0</v>
          </cell>
          <cell r="H443">
            <v>0</v>
          </cell>
          <cell r="I443">
            <v>6</v>
          </cell>
          <cell r="J443">
            <v>30</v>
          </cell>
          <cell r="K443">
            <v>14000</v>
          </cell>
          <cell r="L443">
            <v>70000</v>
          </cell>
          <cell r="M443">
            <v>0</v>
          </cell>
          <cell r="N443">
            <v>0</v>
          </cell>
          <cell r="O443">
            <v>1680</v>
          </cell>
          <cell r="P443">
            <v>8400</v>
          </cell>
        </row>
        <row r="444">
          <cell r="B444" t="str">
            <v xml:space="preserve">10 FT OF #6 AWG HMWPE CATHODIC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G444">
            <v>0</v>
          </cell>
          <cell r="H444">
            <v>0</v>
          </cell>
          <cell r="I444">
            <v>1.22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</row>
        <row r="445">
          <cell r="B445" t="str">
            <v xml:space="preserve">PROTECTION COPPER CABLE, 1.4"X1.4"X60"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G445">
            <v>0</v>
          </cell>
          <cell r="H445">
            <v>0</v>
          </cell>
          <cell r="I445">
            <v>1.42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</row>
        <row r="446">
          <cell r="B446" t="str">
            <v>ANODE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G446">
            <v>0</v>
          </cell>
          <cell r="H446">
            <v>0</v>
          </cell>
          <cell r="I446">
            <v>1.62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</row>
        <row r="447">
          <cell r="A447">
            <v>3</v>
          </cell>
          <cell r="B447" t="str">
            <v>TEST JUNTION BOX</v>
          </cell>
          <cell r="C447">
            <v>7</v>
          </cell>
          <cell r="D447" t="str">
            <v>SET</v>
          </cell>
          <cell r="E447">
            <v>3000</v>
          </cell>
          <cell r="F447">
            <v>21000</v>
          </cell>
          <cell r="G447">
            <v>0</v>
          </cell>
          <cell r="H447">
            <v>0</v>
          </cell>
          <cell r="I447">
            <v>6</v>
          </cell>
          <cell r="J447">
            <v>42</v>
          </cell>
          <cell r="K447">
            <v>3000</v>
          </cell>
          <cell r="L447">
            <v>21000</v>
          </cell>
          <cell r="M447">
            <v>0</v>
          </cell>
          <cell r="N447">
            <v>0</v>
          </cell>
          <cell r="O447">
            <v>1680</v>
          </cell>
          <cell r="P447">
            <v>11760</v>
          </cell>
        </row>
        <row r="448">
          <cell r="A448">
            <v>4</v>
          </cell>
          <cell r="B448" t="str">
            <v>Cu-CuS04 REFERENCE ELECTRODE WITH 10 FT OF</v>
          </cell>
          <cell r="C448">
            <v>7</v>
          </cell>
          <cell r="D448" t="str">
            <v>SET</v>
          </cell>
          <cell r="E448">
            <v>4000</v>
          </cell>
          <cell r="F448">
            <v>28000</v>
          </cell>
          <cell r="G448">
            <v>0</v>
          </cell>
          <cell r="H448">
            <v>0</v>
          </cell>
          <cell r="I448">
            <v>6</v>
          </cell>
          <cell r="J448">
            <v>42</v>
          </cell>
          <cell r="K448">
            <v>4000</v>
          </cell>
          <cell r="L448">
            <v>28000</v>
          </cell>
          <cell r="M448">
            <v>0</v>
          </cell>
          <cell r="N448">
            <v>0</v>
          </cell>
          <cell r="O448">
            <v>1680</v>
          </cell>
          <cell r="P448">
            <v>11760</v>
          </cell>
        </row>
        <row r="449">
          <cell r="B449" t="str">
            <v xml:space="preserve">#8 AWG HMWPE CATHODIC PROTECTION 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COPPER CABLE &amp; BACKFILL OVER SIZE   </v>
          </cell>
        </row>
        <row r="451">
          <cell r="B451" t="str">
            <v>6" D x 10" L, GLOBAL TYPE OR EQUAL</v>
          </cell>
        </row>
        <row r="452">
          <cell r="A452">
            <v>5</v>
          </cell>
          <cell r="B452" t="str">
            <v>#8AWG 1/C HALAR CABLE</v>
          </cell>
          <cell r="C452">
            <v>475</v>
          </cell>
          <cell r="D452" t="str">
            <v>M</v>
          </cell>
          <cell r="E452">
            <v>120</v>
          </cell>
          <cell r="F452">
            <v>57000</v>
          </cell>
          <cell r="G452">
            <v>0</v>
          </cell>
          <cell r="H452">
            <v>0</v>
          </cell>
          <cell r="I452">
            <v>0.12</v>
          </cell>
          <cell r="J452">
            <v>57</v>
          </cell>
          <cell r="K452">
            <v>120</v>
          </cell>
          <cell r="L452">
            <v>57000</v>
          </cell>
          <cell r="M452">
            <v>0</v>
          </cell>
          <cell r="N452">
            <v>0</v>
          </cell>
          <cell r="O452">
            <v>34</v>
          </cell>
          <cell r="P452">
            <v>16150</v>
          </cell>
        </row>
        <row r="453">
          <cell r="A453">
            <v>6</v>
          </cell>
          <cell r="B453" t="str">
            <v>CADWELD POWDER CARTRIDGE, CA-25 TYPE</v>
          </cell>
          <cell r="C453">
            <v>15</v>
          </cell>
          <cell r="D453" t="str">
            <v>PCS</v>
          </cell>
          <cell r="E453">
            <v>125</v>
          </cell>
          <cell r="F453">
            <v>1875</v>
          </cell>
          <cell r="G453">
            <v>0</v>
          </cell>
          <cell r="H453">
            <v>0</v>
          </cell>
          <cell r="I453">
            <v>1</v>
          </cell>
          <cell r="J453">
            <v>15</v>
          </cell>
          <cell r="K453">
            <v>125</v>
          </cell>
          <cell r="L453">
            <v>1875</v>
          </cell>
          <cell r="M453">
            <v>0</v>
          </cell>
          <cell r="N453">
            <v>0</v>
          </cell>
          <cell r="O453">
            <v>280</v>
          </cell>
          <cell r="P453">
            <v>4200</v>
          </cell>
        </row>
        <row r="454">
          <cell r="A454">
            <v>7</v>
          </cell>
          <cell r="B454" t="str">
            <v>CADWELD MOLD</v>
          </cell>
          <cell r="C454">
            <v>1</v>
          </cell>
          <cell r="D454" t="str">
            <v>SET</v>
          </cell>
          <cell r="E454">
            <v>1500</v>
          </cell>
          <cell r="F454">
            <v>1500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1500</v>
          </cell>
          <cell r="L454">
            <v>1500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</row>
        <row r="455">
          <cell r="A455">
            <v>8</v>
          </cell>
          <cell r="B455" t="str">
            <v>C TYPE LUG</v>
          </cell>
          <cell r="C455">
            <v>60</v>
          </cell>
          <cell r="D455" t="str">
            <v>PCS</v>
          </cell>
          <cell r="E455">
            <v>50</v>
          </cell>
          <cell r="F455">
            <v>3000</v>
          </cell>
          <cell r="G455">
            <v>0</v>
          </cell>
          <cell r="H455">
            <v>0</v>
          </cell>
          <cell r="I455">
            <v>0.5</v>
          </cell>
          <cell r="J455">
            <v>30</v>
          </cell>
          <cell r="K455">
            <v>50</v>
          </cell>
          <cell r="L455">
            <v>3000</v>
          </cell>
          <cell r="M455">
            <v>0</v>
          </cell>
          <cell r="N455">
            <v>0</v>
          </cell>
          <cell r="O455">
            <v>140</v>
          </cell>
          <cell r="P455">
            <v>8400</v>
          </cell>
        </row>
        <row r="456">
          <cell r="A456">
            <v>9</v>
          </cell>
          <cell r="B456" t="str">
            <v>TOOL,MOLD SUPPORT CLAMP CADWELD CAB-320</v>
          </cell>
          <cell r="C456">
            <v>1</v>
          </cell>
          <cell r="D456" t="str">
            <v>PCS</v>
          </cell>
          <cell r="E456">
            <v>2500</v>
          </cell>
          <cell r="F456">
            <v>2500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2500</v>
          </cell>
          <cell r="L456">
            <v>2500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</row>
        <row r="457">
          <cell r="A457">
            <v>10</v>
          </cell>
          <cell r="B457" t="str">
            <v xml:space="preserve">NONMETALLIC CONDUIT, PVC CNS 1302 UPVC </v>
          </cell>
          <cell r="C457">
            <v>285</v>
          </cell>
          <cell r="D457" t="str">
            <v>M</v>
          </cell>
          <cell r="E457">
            <v>16</v>
          </cell>
          <cell r="F457">
            <v>4560</v>
          </cell>
          <cell r="G457">
            <v>0</v>
          </cell>
          <cell r="H457">
            <v>0</v>
          </cell>
          <cell r="I457">
            <v>0.5</v>
          </cell>
          <cell r="J457">
            <v>143</v>
          </cell>
          <cell r="K457">
            <v>16</v>
          </cell>
          <cell r="L457">
            <v>4560</v>
          </cell>
          <cell r="M457">
            <v>0</v>
          </cell>
          <cell r="N457">
            <v>0</v>
          </cell>
          <cell r="O457">
            <v>140</v>
          </cell>
          <cell r="P457">
            <v>39900</v>
          </cell>
          <cell r="Q457">
            <v>0</v>
          </cell>
        </row>
        <row r="458">
          <cell r="B458" t="str">
            <v>TABLE 1, 1"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</row>
        <row r="459">
          <cell r="A459">
            <v>11</v>
          </cell>
          <cell r="B459" t="str">
            <v xml:space="preserve">CONCRETE, 3000PSI </v>
          </cell>
          <cell r="C459">
            <v>3</v>
          </cell>
          <cell r="D459" t="str">
            <v>M3</v>
          </cell>
          <cell r="E459" t="str">
            <v>M+L</v>
          </cell>
          <cell r="F459" t="str">
            <v>M+L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 t="str">
            <v>M+L</v>
          </cell>
          <cell r="L459" t="str">
            <v>M+L</v>
          </cell>
          <cell r="M459">
            <v>0</v>
          </cell>
          <cell r="N459">
            <v>0</v>
          </cell>
          <cell r="O459">
            <v>2300</v>
          </cell>
          <cell r="P459">
            <v>6900</v>
          </cell>
        </row>
        <row r="460">
          <cell r="A460">
            <v>12</v>
          </cell>
          <cell r="B460" t="str">
            <v>STEEL REINFORCING BAR, 3/8"</v>
          </cell>
          <cell r="C460">
            <v>610</v>
          </cell>
          <cell r="D460" t="str">
            <v>KG</v>
          </cell>
          <cell r="E460" t="str">
            <v>M+L</v>
          </cell>
          <cell r="F460" t="str">
            <v>M+L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 t="str">
            <v>M+L</v>
          </cell>
          <cell r="L460" t="str">
            <v>M+L</v>
          </cell>
          <cell r="M460">
            <v>0</v>
          </cell>
          <cell r="N460">
            <v>0</v>
          </cell>
          <cell r="O460">
            <v>16</v>
          </cell>
          <cell r="P460">
            <v>9760</v>
          </cell>
        </row>
        <row r="461">
          <cell r="A461">
            <v>13</v>
          </cell>
          <cell r="B461" t="str">
            <v xml:space="preserve"> EXCAVATION</v>
          </cell>
          <cell r="C461">
            <v>152</v>
          </cell>
          <cell r="D461" t="str">
            <v>M3</v>
          </cell>
          <cell r="E461" t="str">
            <v>M+L</v>
          </cell>
          <cell r="F461" t="str">
            <v>M+L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 t="str">
            <v>M+L</v>
          </cell>
          <cell r="L461" t="str">
            <v>M+L</v>
          </cell>
          <cell r="M461">
            <v>0</v>
          </cell>
          <cell r="N461">
            <v>0</v>
          </cell>
          <cell r="O461">
            <v>120</v>
          </cell>
          <cell r="P461">
            <v>18240</v>
          </cell>
        </row>
        <row r="462">
          <cell r="A462">
            <v>14</v>
          </cell>
          <cell r="B462" t="str">
            <v xml:space="preserve"> BACKFILL SAND</v>
          </cell>
          <cell r="C462">
            <v>50</v>
          </cell>
          <cell r="D462" t="str">
            <v>M3</v>
          </cell>
          <cell r="E462" t="str">
            <v>M+L</v>
          </cell>
          <cell r="F462" t="str">
            <v>M+L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 t="str">
            <v>M+L</v>
          </cell>
          <cell r="L462" t="str">
            <v>M+L</v>
          </cell>
          <cell r="M462">
            <v>0</v>
          </cell>
          <cell r="N462">
            <v>0</v>
          </cell>
          <cell r="O462">
            <v>550</v>
          </cell>
          <cell r="P462">
            <v>27500</v>
          </cell>
        </row>
        <row r="463">
          <cell r="A463">
            <v>15</v>
          </cell>
          <cell r="B463" t="str">
            <v xml:space="preserve"> BACKFILL STONE</v>
          </cell>
          <cell r="C463">
            <v>31</v>
          </cell>
          <cell r="D463" t="str">
            <v>M3</v>
          </cell>
          <cell r="E463" t="str">
            <v>M+L</v>
          </cell>
          <cell r="F463" t="str">
            <v>M+L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 t="str">
            <v>M+L</v>
          </cell>
          <cell r="L463" t="str">
            <v>M+L</v>
          </cell>
          <cell r="M463">
            <v>0</v>
          </cell>
          <cell r="N463">
            <v>0</v>
          </cell>
          <cell r="O463">
            <v>520</v>
          </cell>
          <cell r="P463">
            <v>16120</v>
          </cell>
        </row>
        <row r="464">
          <cell r="A464">
            <v>16</v>
          </cell>
          <cell r="B464" t="str">
            <v xml:space="preserve"> DISPOSAL</v>
          </cell>
          <cell r="C464">
            <v>80</v>
          </cell>
          <cell r="D464" t="str">
            <v>M3</v>
          </cell>
          <cell r="E464" t="str">
            <v>M+L</v>
          </cell>
          <cell r="F464" t="str">
            <v>M+L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 t="str">
            <v>M+L</v>
          </cell>
          <cell r="L464" t="str">
            <v>M+L</v>
          </cell>
          <cell r="M464">
            <v>0</v>
          </cell>
          <cell r="N464">
            <v>0</v>
          </cell>
          <cell r="O464">
            <v>220</v>
          </cell>
          <cell r="P464">
            <v>17600</v>
          </cell>
        </row>
        <row r="465">
          <cell r="A465">
            <v>17</v>
          </cell>
          <cell r="B465" t="str">
            <v>???????(????)</v>
          </cell>
          <cell r="C465">
            <v>9</v>
          </cell>
          <cell r="D465" t="str">
            <v>PCS</v>
          </cell>
          <cell r="E465">
            <v>500</v>
          </cell>
          <cell r="F465">
            <v>4500</v>
          </cell>
          <cell r="G465">
            <v>0</v>
          </cell>
          <cell r="H465">
            <v>0</v>
          </cell>
          <cell r="I465">
            <v>2</v>
          </cell>
          <cell r="J465">
            <v>18</v>
          </cell>
          <cell r="K465">
            <v>500</v>
          </cell>
          <cell r="L465">
            <v>4500</v>
          </cell>
          <cell r="M465">
            <v>0</v>
          </cell>
          <cell r="N465">
            <v>0</v>
          </cell>
          <cell r="O465">
            <v>560</v>
          </cell>
          <cell r="P465">
            <v>5040</v>
          </cell>
        </row>
        <row r="466">
          <cell r="A466">
            <v>18</v>
          </cell>
          <cell r="B466" t="str">
            <v>???????</v>
          </cell>
          <cell r="C466">
            <v>7</v>
          </cell>
          <cell r="D466" t="str">
            <v>ROLL</v>
          </cell>
          <cell r="E466">
            <v>300</v>
          </cell>
          <cell r="F466">
            <v>2100</v>
          </cell>
          <cell r="G466">
            <v>0</v>
          </cell>
          <cell r="H466">
            <v>0</v>
          </cell>
          <cell r="I466">
            <v>1</v>
          </cell>
          <cell r="J466">
            <v>7</v>
          </cell>
          <cell r="K466">
            <v>300</v>
          </cell>
          <cell r="L466">
            <v>2100</v>
          </cell>
          <cell r="M466">
            <v>0</v>
          </cell>
          <cell r="N466">
            <v>0</v>
          </cell>
          <cell r="O466">
            <v>280</v>
          </cell>
          <cell r="P466">
            <v>1960</v>
          </cell>
        </row>
        <row r="467">
          <cell r="A467">
            <v>19</v>
          </cell>
          <cell r="B467" t="str">
            <v>????PE???</v>
          </cell>
          <cell r="C467">
            <v>8</v>
          </cell>
          <cell r="D467" t="str">
            <v>PCS</v>
          </cell>
          <cell r="E467">
            <v>350</v>
          </cell>
          <cell r="F467">
            <v>2800</v>
          </cell>
          <cell r="G467">
            <v>0</v>
          </cell>
          <cell r="H467">
            <v>0</v>
          </cell>
          <cell r="I467">
            <v>1</v>
          </cell>
          <cell r="J467">
            <v>8</v>
          </cell>
          <cell r="K467">
            <v>350</v>
          </cell>
          <cell r="L467">
            <v>2800</v>
          </cell>
          <cell r="M467">
            <v>0</v>
          </cell>
          <cell r="N467">
            <v>0</v>
          </cell>
          <cell r="O467">
            <v>280</v>
          </cell>
          <cell r="P467">
            <v>2240</v>
          </cell>
        </row>
        <row r="468">
          <cell r="A468">
            <v>20</v>
          </cell>
          <cell r="B468" t="str">
            <v>MISCELLANEOUS INCLUDE ???????? &amp; ???????</v>
          </cell>
          <cell r="C468">
            <v>1</v>
          </cell>
          <cell r="D468" t="str">
            <v>LOT</v>
          </cell>
          <cell r="E468">
            <v>67883.5</v>
          </cell>
          <cell r="F468">
            <v>67884</v>
          </cell>
          <cell r="G468">
            <v>0</v>
          </cell>
          <cell r="H468">
            <v>0</v>
          </cell>
          <cell r="I468">
            <v>93.2</v>
          </cell>
          <cell r="J468">
            <v>93</v>
          </cell>
          <cell r="K468">
            <v>67884</v>
          </cell>
          <cell r="L468">
            <v>67884</v>
          </cell>
          <cell r="M468">
            <v>0</v>
          </cell>
          <cell r="N468">
            <v>0</v>
          </cell>
          <cell r="O468">
            <v>26096</v>
          </cell>
          <cell r="P468">
            <v>26096</v>
          </cell>
        </row>
        <row r="469">
          <cell r="B469" t="str">
            <v>SUB-TOTAL : (H)</v>
          </cell>
          <cell r="C469">
            <v>0</v>
          </cell>
          <cell r="D469">
            <v>0</v>
          </cell>
          <cell r="E469">
            <v>0</v>
          </cell>
          <cell r="F469">
            <v>746719</v>
          </cell>
          <cell r="G469">
            <v>0</v>
          </cell>
          <cell r="H469">
            <v>0</v>
          </cell>
          <cell r="I469">
            <v>0</v>
          </cell>
          <cell r="J469">
            <v>1025</v>
          </cell>
          <cell r="K469">
            <v>0</v>
          </cell>
          <cell r="L469">
            <v>746719</v>
          </cell>
          <cell r="M469">
            <v>0</v>
          </cell>
          <cell r="N469">
            <v>0</v>
          </cell>
          <cell r="O469">
            <v>0</v>
          </cell>
          <cell r="P469">
            <v>383226</v>
          </cell>
        </row>
        <row r="470"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</row>
        <row r="471">
          <cell r="B471" t="str">
            <v>PVC???? 7C-2SQ.MM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</row>
        <row r="472"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</row>
        <row r="473">
          <cell r="A473" t="str">
            <v>I.</v>
          </cell>
          <cell r="B473" t="str">
            <v>APS SYSTEM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</row>
        <row r="474">
          <cell r="B474" t="str">
            <v>D&amp;F SYSTEM PANEL, INCLUDING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</row>
        <row r="475">
          <cell r="A475">
            <v>1</v>
          </cell>
          <cell r="B475" t="str">
            <v>PLC BASE PANEL, INDOOR IP20 ENCLOSURE, W/</v>
          </cell>
          <cell r="C475">
            <v>1</v>
          </cell>
          <cell r="D475" t="str">
            <v>SET</v>
          </cell>
          <cell r="E475">
            <v>1285400</v>
          </cell>
          <cell r="F475">
            <v>1285400</v>
          </cell>
          <cell r="G475">
            <v>0</v>
          </cell>
          <cell r="H475">
            <v>0</v>
          </cell>
          <cell r="I475">
            <v>50</v>
          </cell>
          <cell r="J475">
            <v>50</v>
          </cell>
          <cell r="K475">
            <v>1285400</v>
          </cell>
          <cell r="L475">
            <v>1285400</v>
          </cell>
          <cell r="M475">
            <v>0</v>
          </cell>
          <cell r="N475">
            <v>0</v>
          </cell>
          <cell r="O475">
            <v>14000</v>
          </cell>
          <cell r="P475">
            <v>14000</v>
          </cell>
        </row>
        <row r="476">
          <cell r="B476" t="str">
            <v xml:space="preserve">POWER SUPPLY, DIx144, DOx100, 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</row>
        <row r="477">
          <cell r="B477" t="str">
            <v>INTERPOSITION RELAY x50,  WIRING, AND TB.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</row>
        <row r="478">
          <cell r="A478">
            <v>19</v>
          </cell>
          <cell r="B478" t="str">
            <v>SOFTWARE DESIGN PACKAGE</v>
          </cell>
          <cell r="C478">
            <v>3000</v>
          </cell>
          <cell r="D478" t="str">
            <v>M</v>
          </cell>
          <cell r="E478">
            <v>76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</row>
        <row r="479">
          <cell r="A479">
            <v>2</v>
          </cell>
          <cell r="B479" t="str">
            <v>OPERATION CONSOLE, INCLUDING</v>
          </cell>
          <cell r="C479">
            <v>1</v>
          </cell>
          <cell r="D479" t="str">
            <v>SET</v>
          </cell>
          <cell r="E479">
            <v>357000</v>
          </cell>
          <cell r="F479">
            <v>357000</v>
          </cell>
          <cell r="G479">
            <v>0</v>
          </cell>
          <cell r="H479">
            <v>0</v>
          </cell>
          <cell r="I479">
            <v>20</v>
          </cell>
          <cell r="J479">
            <v>20</v>
          </cell>
          <cell r="K479">
            <v>357000</v>
          </cell>
          <cell r="L479">
            <v>357000</v>
          </cell>
          <cell r="M479">
            <v>0</v>
          </cell>
          <cell r="N479">
            <v>0</v>
          </cell>
          <cell r="O479">
            <v>5600</v>
          </cell>
          <cell r="P479">
            <v>5600</v>
          </cell>
        </row>
        <row r="480">
          <cell r="B480" t="str">
            <v>ANNUNCIATOR PANEL, W/ 50 WINDOWS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0.23599999999999999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</row>
        <row r="481">
          <cell r="B481" t="str">
            <v xml:space="preserve">COMMAND BOARD, W/ 15 PB SWITCH(SW. W/LIGHT) 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</row>
        <row r="482">
          <cell r="B482" t="str">
            <v>WIRING, AND TB.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</row>
        <row r="483">
          <cell r="A483">
            <v>3</v>
          </cell>
          <cell r="B483" t="str">
            <v>MIMIC PANEL, ENCLOSURE SIZE 2300Hx1400Wx600D</v>
          </cell>
          <cell r="C483">
            <v>1</v>
          </cell>
          <cell r="D483" t="str">
            <v>SET</v>
          </cell>
          <cell r="E483">
            <v>448000</v>
          </cell>
          <cell r="F483">
            <v>448000</v>
          </cell>
          <cell r="G483">
            <v>0</v>
          </cell>
          <cell r="H483">
            <v>0</v>
          </cell>
          <cell r="I483">
            <v>20</v>
          </cell>
          <cell r="J483">
            <v>20</v>
          </cell>
          <cell r="K483">
            <v>448000</v>
          </cell>
          <cell r="L483">
            <v>448000</v>
          </cell>
          <cell r="M483">
            <v>0</v>
          </cell>
          <cell r="N483">
            <v>0</v>
          </cell>
          <cell r="O483">
            <v>5600</v>
          </cell>
          <cell r="P483">
            <v>5600</v>
          </cell>
        </row>
        <row r="484">
          <cell r="A484">
            <v>0</v>
          </cell>
          <cell r="B484" t="str">
            <v>MOSAIC PANEL  SIZE 1200Hx1200W, W/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</row>
        <row r="485">
          <cell r="B485" t="str">
            <v>INDICATION LIGHT x60, POWER SUPPLY, WIRING, AND TB.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</row>
        <row r="486">
          <cell r="A486">
            <v>4</v>
          </cell>
          <cell r="B486" t="str">
            <v>RECEIVING PANEL, INDOOR IP20 ENCLOSURE, W/</v>
          </cell>
          <cell r="C486">
            <v>1</v>
          </cell>
          <cell r="D486" t="str">
            <v>SET</v>
          </cell>
          <cell r="E486">
            <v>1400000</v>
          </cell>
          <cell r="F486">
            <v>1400000</v>
          </cell>
          <cell r="G486">
            <v>0</v>
          </cell>
          <cell r="H486">
            <v>0</v>
          </cell>
          <cell r="I486">
            <v>50</v>
          </cell>
          <cell r="J486">
            <v>50</v>
          </cell>
          <cell r="K486">
            <v>1400000</v>
          </cell>
          <cell r="L486">
            <v>1400000</v>
          </cell>
          <cell r="M486">
            <v>0</v>
          </cell>
          <cell r="N486">
            <v>0</v>
          </cell>
          <cell r="O486">
            <v>14000</v>
          </cell>
          <cell r="P486">
            <v>14000</v>
          </cell>
        </row>
        <row r="487">
          <cell r="B487" t="str">
            <v>UV/IR DETECTOR CONTROLLER, 4-CHANNEL x1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</row>
        <row r="488">
          <cell r="B488" t="str">
            <v>GAS DETECTOR CONTROLLER, 8-CHANNEL x8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</row>
        <row r="489">
          <cell r="B489" t="str">
            <v>LOW TEMP. DETECTOR CONTROLLER, 4-CHANNEL x7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</row>
        <row r="490">
          <cell r="B490" t="str">
            <v>POWER SUPPLY, WIRING, AND TB.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</row>
        <row r="491">
          <cell r="A491">
            <v>5</v>
          </cell>
          <cell r="B491" t="str">
            <v>MANUAL STATION, 110VAC, CL.1 DIV.2, NEMA-4X</v>
          </cell>
          <cell r="C491">
            <v>16</v>
          </cell>
          <cell r="D491" t="str">
            <v>SET</v>
          </cell>
          <cell r="E491">
            <v>30000</v>
          </cell>
          <cell r="F491">
            <v>480000</v>
          </cell>
          <cell r="G491">
            <v>0</v>
          </cell>
          <cell r="H491">
            <v>0</v>
          </cell>
          <cell r="I491">
            <v>5</v>
          </cell>
          <cell r="J491">
            <v>80</v>
          </cell>
          <cell r="K491">
            <v>30000</v>
          </cell>
          <cell r="L491">
            <v>480000</v>
          </cell>
          <cell r="M491">
            <v>0</v>
          </cell>
          <cell r="N491">
            <v>0</v>
          </cell>
          <cell r="O491">
            <v>1400</v>
          </cell>
          <cell r="P491">
            <v>22400</v>
          </cell>
        </row>
        <row r="492">
          <cell r="A492">
            <v>6</v>
          </cell>
          <cell r="B492" t="str">
            <v>SIREN(SPEAKER),, 110VAC, CL.1 DIV.2, NEMA-4X</v>
          </cell>
          <cell r="C492">
            <v>16</v>
          </cell>
          <cell r="D492" t="str">
            <v>SET</v>
          </cell>
          <cell r="E492">
            <v>40000</v>
          </cell>
          <cell r="F492">
            <v>640000</v>
          </cell>
          <cell r="G492">
            <v>0</v>
          </cell>
          <cell r="H492">
            <v>0</v>
          </cell>
          <cell r="I492">
            <v>5</v>
          </cell>
          <cell r="J492">
            <v>80</v>
          </cell>
          <cell r="K492">
            <v>40000</v>
          </cell>
          <cell r="L492">
            <v>640000</v>
          </cell>
          <cell r="M492">
            <v>0</v>
          </cell>
          <cell r="N492">
            <v>0</v>
          </cell>
          <cell r="O492">
            <v>1400</v>
          </cell>
          <cell r="P492">
            <v>22400</v>
          </cell>
        </row>
        <row r="493">
          <cell r="A493">
            <v>7</v>
          </cell>
          <cell r="B493" t="str">
            <v>VISUAL ALARM BECON, , 110VAC, CL.1 DIV.2, NEMA-4X</v>
          </cell>
          <cell r="C493">
            <v>16</v>
          </cell>
          <cell r="D493" t="str">
            <v>SET</v>
          </cell>
          <cell r="E493">
            <v>37000</v>
          </cell>
          <cell r="F493">
            <v>592000</v>
          </cell>
          <cell r="G493">
            <v>0</v>
          </cell>
          <cell r="H493">
            <v>0</v>
          </cell>
          <cell r="I493">
            <v>5</v>
          </cell>
          <cell r="J493">
            <v>80</v>
          </cell>
          <cell r="K493">
            <v>37000</v>
          </cell>
          <cell r="L493">
            <v>592000</v>
          </cell>
          <cell r="M493">
            <v>0</v>
          </cell>
          <cell r="N493">
            <v>0</v>
          </cell>
          <cell r="O493">
            <v>1400</v>
          </cell>
          <cell r="P493">
            <v>22400</v>
          </cell>
        </row>
        <row r="494">
          <cell r="A494">
            <v>8</v>
          </cell>
          <cell r="B494" t="str">
            <v>UV/IR FLAME DETECTOR, CL.1 DIV.2, NEMA-4X</v>
          </cell>
          <cell r="C494">
            <v>4</v>
          </cell>
          <cell r="D494" t="str">
            <v>SET</v>
          </cell>
          <cell r="E494">
            <v>67000</v>
          </cell>
          <cell r="F494">
            <v>268000</v>
          </cell>
          <cell r="G494">
            <v>0</v>
          </cell>
          <cell r="H494">
            <v>0</v>
          </cell>
          <cell r="I494">
            <v>8</v>
          </cell>
          <cell r="J494">
            <v>32</v>
          </cell>
          <cell r="K494">
            <v>67000</v>
          </cell>
          <cell r="L494">
            <v>268000</v>
          </cell>
          <cell r="M494">
            <v>0</v>
          </cell>
          <cell r="N494">
            <v>0</v>
          </cell>
          <cell r="O494">
            <v>2240</v>
          </cell>
          <cell r="P494">
            <v>8960</v>
          </cell>
        </row>
        <row r="495">
          <cell r="A495">
            <v>9</v>
          </cell>
          <cell r="B495" t="str">
            <v>LOW TEMPERATURE DETECTOR, 50FT LG., NEMA-4X</v>
          </cell>
          <cell r="C495">
            <v>4</v>
          </cell>
          <cell r="D495" t="str">
            <v>SET</v>
          </cell>
          <cell r="E495">
            <v>288000</v>
          </cell>
          <cell r="F495">
            <v>1152000</v>
          </cell>
          <cell r="G495">
            <v>0</v>
          </cell>
          <cell r="H495">
            <v>0</v>
          </cell>
          <cell r="I495">
            <v>10</v>
          </cell>
          <cell r="J495">
            <v>40</v>
          </cell>
          <cell r="K495">
            <v>288000</v>
          </cell>
          <cell r="L495">
            <v>1152000</v>
          </cell>
          <cell r="M495">
            <v>0</v>
          </cell>
          <cell r="N495">
            <v>0</v>
          </cell>
          <cell r="O495">
            <v>2800</v>
          </cell>
          <cell r="P495">
            <v>11200</v>
          </cell>
        </row>
        <row r="496">
          <cell r="A496">
            <v>10</v>
          </cell>
          <cell r="B496" t="str">
            <v>COMBUSTIBLE GAS DETECTOR,  CATALYTIC TYPE</v>
          </cell>
          <cell r="C496">
            <v>60</v>
          </cell>
          <cell r="D496" t="str">
            <v>EST</v>
          </cell>
          <cell r="E496">
            <v>50000</v>
          </cell>
          <cell r="F496">
            <v>3000000</v>
          </cell>
          <cell r="G496">
            <v>0</v>
          </cell>
          <cell r="H496">
            <v>0</v>
          </cell>
          <cell r="I496">
            <v>5</v>
          </cell>
          <cell r="J496">
            <v>300</v>
          </cell>
          <cell r="K496">
            <v>50000</v>
          </cell>
          <cell r="L496">
            <v>3000000</v>
          </cell>
          <cell r="M496">
            <v>0</v>
          </cell>
          <cell r="N496">
            <v>0</v>
          </cell>
          <cell r="O496">
            <v>1400</v>
          </cell>
          <cell r="P496">
            <v>84000</v>
          </cell>
        </row>
        <row r="497">
          <cell r="B497" t="str">
            <v>CL.1, DIV.2, W/ WEATHER HOUSING, FILTER, NEMA-4X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</row>
        <row r="498">
          <cell r="A498">
            <v>11</v>
          </cell>
          <cell r="B498" t="str">
            <v>GAS DETECTOR TEST KIT FOR 60 DETECTORS &amp; GRAPHIC PANEL</v>
          </cell>
          <cell r="C498">
            <v>1</v>
          </cell>
          <cell r="D498" t="str">
            <v>SET</v>
          </cell>
          <cell r="E498">
            <v>350000</v>
          </cell>
          <cell r="F498">
            <v>350000</v>
          </cell>
          <cell r="G498">
            <v>0</v>
          </cell>
          <cell r="H498">
            <v>0</v>
          </cell>
          <cell r="I498">
            <v>10</v>
          </cell>
          <cell r="J498">
            <v>10</v>
          </cell>
          <cell r="K498">
            <v>350000</v>
          </cell>
          <cell r="L498">
            <v>350000</v>
          </cell>
          <cell r="M498">
            <v>0</v>
          </cell>
          <cell r="N498">
            <v>0</v>
          </cell>
          <cell r="O498">
            <v>2800</v>
          </cell>
          <cell r="P498">
            <v>2800</v>
          </cell>
        </row>
        <row r="499">
          <cell r="A499">
            <v>12</v>
          </cell>
          <cell r="B499" t="str">
            <v>R.S.G. CONDUIT/W COUPLING 1"</v>
          </cell>
          <cell r="C499">
            <v>1600</v>
          </cell>
          <cell r="D499" t="str">
            <v>M</v>
          </cell>
          <cell r="E499">
            <v>49</v>
          </cell>
          <cell r="F499">
            <v>78400</v>
          </cell>
          <cell r="G499">
            <v>0</v>
          </cell>
          <cell r="H499">
            <v>0</v>
          </cell>
          <cell r="I499">
            <v>0.54</v>
          </cell>
          <cell r="J499">
            <v>864</v>
          </cell>
          <cell r="K499">
            <v>49</v>
          </cell>
          <cell r="L499">
            <v>78400</v>
          </cell>
          <cell r="M499">
            <v>0</v>
          </cell>
          <cell r="N499">
            <v>0</v>
          </cell>
          <cell r="O499">
            <v>151</v>
          </cell>
          <cell r="P499">
            <v>241600</v>
          </cell>
        </row>
        <row r="500">
          <cell r="A500">
            <v>13</v>
          </cell>
          <cell r="B500" t="str">
            <v>R.S.G. CONDUIT/W COUPLING 2"</v>
          </cell>
          <cell r="C500">
            <v>2300</v>
          </cell>
          <cell r="D500" t="str">
            <v>M</v>
          </cell>
          <cell r="E500">
            <v>105</v>
          </cell>
          <cell r="F500">
            <v>241500</v>
          </cell>
          <cell r="G500">
            <v>0</v>
          </cell>
          <cell r="H500">
            <v>0</v>
          </cell>
          <cell r="I500">
            <v>0.98</v>
          </cell>
          <cell r="J500">
            <v>2254</v>
          </cell>
          <cell r="K500">
            <v>105</v>
          </cell>
          <cell r="L500">
            <v>241500</v>
          </cell>
          <cell r="M500">
            <v>0</v>
          </cell>
          <cell r="N500">
            <v>0</v>
          </cell>
          <cell r="O500">
            <v>274</v>
          </cell>
          <cell r="P500">
            <v>630200</v>
          </cell>
        </row>
        <row r="501">
          <cell r="A501">
            <v>14</v>
          </cell>
          <cell r="B501" t="str">
            <v>FITTING FOR R.S.G. CONDUIT</v>
          </cell>
          <cell r="C501">
            <v>1</v>
          </cell>
          <cell r="D501" t="str">
            <v>LOT</v>
          </cell>
          <cell r="E501">
            <v>639800</v>
          </cell>
          <cell r="F501">
            <v>639800</v>
          </cell>
          <cell r="G501">
            <v>0</v>
          </cell>
          <cell r="H501">
            <v>0</v>
          </cell>
          <cell r="I501">
            <v>935.4</v>
          </cell>
          <cell r="J501">
            <v>935</v>
          </cell>
          <cell r="K501">
            <v>639800</v>
          </cell>
          <cell r="L501">
            <v>639800</v>
          </cell>
          <cell r="M501">
            <v>0</v>
          </cell>
          <cell r="N501">
            <v>0</v>
          </cell>
          <cell r="O501">
            <v>261912</v>
          </cell>
          <cell r="P501">
            <v>261912</v>
          </cell>
        </row>
        <row r="502">
          <cell r="A502">
            <v>15</v>
          </cell>
          <cell r="B502" t="str">
            <v>600V????,???,PVC??,????(OVERALL),</v>
          </cell>
          <cell r="C502">
            <v>650</v>
          </cell>
          <cell r="D502" t="str">
            <v>M</v>
          </cell>
          <cell r="E502">
            <v>37</v>
          </cell>
          <cell r="F502">
            <v>24050</v>
          </cell>
          <cell r="G502">
            <v>0</v>
          </cell>
          <cell r="H502">
            <v>0</v>
          </cell>
          <cell r="I502">
            <v>0.11700000000000001</v>
          </cell>
          <cell r="J502">
            <v>76</v>
          </cell>
          <cell r="K502">
            <v>37</v>
          </cell>
          <cell r="L502">
            <v>24050</v>
          </cell>
          <cell r="M502">
            <v>0</v>
          </cell>
          <cell r="N502">
            <v>0</v>
          </cell>
          <cell r="O502">
            <v>33</v>
          </cell>
          <cell r="P502">
            <v>21450</v>
          </cell>
        </row>
        <row r="503">
          <cell r="B503" t="str">
            <v>PVC???? 7C-2SQ.MM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</row>
        <row r="504">
          <cell r="A504">
            <v>16</v>
          </cell>
          <cell r="B504" t="str">
            <v>600V????,???,PVC??,????(OVERALL),</v>
          </cell>
          <cell r="C504">
            <v>1500</v>
          </cell>
          <cell r="D504" t="str">
            <v>M</v>
          </cell>
          <cell r="E504">
            <v>41</v>
          </cell>
          <cell r="F504">
            <v>61500</v>
          </cell>
          <cell r="G504">
            <v>0</v>
          </cell>
          <cell r="H504">
            <v>0</v>
          </cell>
          <cell r="I504">
            <v>0.13300000000000001</v>
          </cell>
          <cell r="J504">
            <v>200</v>
          </cell>
          <cell r="K504">
            <v>41</v>
          </cell>
          <cell r="L504">
            <v>61500</v>
          </cell>
          <cell r="M504">
            <v>0</v>
          </cell>
          <cell r="N504">
            <v>0</v>
          </cell>
          <cell r="O504">
            <v>37</v>
          </cell>
          <cell r="P504">
            <v>55500</v>
          </cell>
        </row>
        <row r="505">
          <cell r="B505" t="str">
            <v>PVC???? 9C-2SQ.MM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</row>
        <row r="506">
          <cell r="A506">
            <v>17</v>
          </cell>
          <cell r="B506" t="str">
            <v>600V????,???,PVC??,????(OVERALL),</v>
          </cell>
          <cell r="C506">
            <v>2600</v>
          </cell>
          <cell r="D506" t="str">
            <v>M</v>
          </cell>
          <cell r="E506">
            <v>53</v>
          </cell>
          <cell r="F506">
            <v>137800</v>
          </cell>
          <cell r="G506">
            <v>0</v>
          </cell>
          <cell r="H506">
            <v>0</v>
          </cell>
          <cell r="I506">
            <v>0.153</v>
          </cell>
          <cell r="J506">
            <v>398</v>
          </cell>
          <cell r="K506">
            <v>53</v>
          </cell>
          <cell r="L506">
            <v>137800</v>
          </cell>
          <cell r="M506">
            <v>0</v>
          </cell>
          <cell r="N506">
            <v>0</v>
          </cell>
          <cell r="O506">
            <v>43</v>
          </cell>
          <cell r="P506">
            <v>111800</v>
          </cell>
        </row>
        <row r="507">
          <cell r="B507" t="str">
            <v>PVC???? 12C-2SQ.MM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</row>
        <row r="508">
          <cell r="A508">
            <v>18</v>
          </cell>
          <cell r="B508" t="str">
            <v>600V????,???,PVC??,????(OVERALL),</v>
          </cell>
          <cell r="C508">
            <v>10000</v>
          </cell>
          <cell r="D508" t="str">
            <v>M</v>
          </cell>
          <cell r="E508">
            <v>44</v>
          </cell>
          <cell r="F508">
            <v>440000</v>
          </cell>
          <cell r="G508">
            <v>0</v>
          </cell>
          <cell r="H508">
            <v>0</v>
          </cell>
          <cell r="I508">
            <v>0.13500000000000001</v>
          </cell>
          <cell r="J508">
            <v>1350</v>
          </cell>
          <cell r="K508">
            <v>44</v>
          </cell>
          <cell r="L508">
            <v>440000</v>
          </cell>
          <cell r="M508">
            <v>0</v>
          </cell>
          <cell r="N508">
            <v>0</v>
          </cell>
          <cell r="O508">
            <v>38</v>
          </cell>
          <cell r="P508">
            <v>380000</v>
          </cell>
        </row>
        <row r="509">
          <cell r="B509" t="str">
            <v>PVC???? 7C-3.5SQ.MM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</row>
        <row r="510">
          <cell r="A510">
            <v>19</v>
          </cell>
          <cell r="B510" t="str">
            <v>600V????,???,PVC??,????(OVERALL),</v>
          </cell>
          <cell r="C510">
            <v>3000</v>
          </cell>
          <cell r="D510" t="str">
            <v>M</v>
          </cell>
          <cell r="E510">
            <v>76</v>
          </cell>
          <cell r="F510">
            <v>228000</v>
          </cell>
          <cell r="G510">
            <v>0</v>
          </cell>
          <cell r="H510">
            <v>0</v>
          </cell>
          <cell r="I510">
            <v>0.193</v>
          </cell>
          <cell r="J510">
            <v>579</v>
          </cell>
          <cell r="K510">
            <v>76</v>
          </cell>
          <cell r="L510">
            <v>228000</v>
          </cell>
          <cell r="M510">
            <v>0</v>
          </cell>
          <cell r="N510">
            <v>0</v>
          </cell>
          <cell r="O510">
            <v>54</v>
          </cell>
          <cell r="P510">
            <v>162000</v>
          </cell>
        </row>
        <row r="511">
          <cell r="B511" t="str">
            <v>PVC???? 19C-2SQ.MM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</row>
        <row r="512">
          <cell r="A512">
            <v>20</v>
          </cell>
          <cell r="B512" t="str">
            <v>600V????,???,PVC??,????(OVERALL),</v>
          </cell>
          <cell r="C512">
            <v>14000</v>
          </cell>
          <cell r="D512" t="str">
            <v>M</v>
          </cell>
          <cell r="E512">
            <v>119</v>
          </cell>
          <cell r="F512">
            <v>1666000</v>
          </cell>
          <cell r="G512">
            <v>0</v>
          </cell>
          <cell r="H512">
            <v>0</v>
          </cell>
          <cell r="I512">
            <v>0.23599999999999999</v>
          </cell>
          <cell r="J512">
            <v>3304</v>
          </cell>
          <cell r="K512">
            <v>119</v>
          </cell>
          <cell r="L512">
            <v>1666000</v>
          </cell>
          <cell r="M512">
            <v>0</v>
          </cell>
          <cell r="N512">
            <v>0</v>
          </cell>
          <cell r="O512">
            <v>66</v>
          </cell>
          <cell r="P512">
            <v>924000</v>
          </cell>
        </row>
        <row r="513">
          <cell r="B513" t="str">
            <v>PVC???? 30C-2SQ.MM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</row>
        <row r="514">
          <cell r="A514">
            <v>21</v>
          </cell>
          <cell r="B514" t="str">
            <v>300V????,PVC??,????(OVERALL &amp; INDIVID)PVC</v>
          </cell>
          <cell r="C514">
            <v>12000</v>
          </cell>
          <cell r="D514" t="str">
            <v>M</v>
          </cell>
          <cell r="E514">
            <v>17</v>
          </cell>
          <cell r="F514">
            <v>204000</v>
          </cell>
          <cell r="G514">
            <v>0</v>
          </cell>
          <cell r="H514">
            <v>0</v>
          </cell>
          <cell r="I514">
            <v>6.4000000000000001E-2</v>
          </cell>
          <cell r="J514">
            <v>768</v>
          </cell>
          <cell r="K514">
            <v>17</v>
          </cell>
          <cell r="L514">
            <v>204000</v>
          </cell>
          <cell r="M514">
            <v>0</v>
          </cell>
          <cell r="N514">
            <v>0</v>
          </cell>
          <cell r="O514">
            <v>18</v>
          </cell>
          <cell r="P514">
            <v>216000</v>
          </cell>
        </row>
        <row r="515">
          <cell r="B515" t="str">
            <v>????  1TxAWG#16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</row>
        <row r="516">
          <cell r="A516">
            <v>22</v>
          </cell>
          <cell r="B516" t="str">
            <v>300V????,PVC??,????(OVERALL &amp; INDIVID)PVC</v>
          </cell>
          <cell r="C516">
            <v>3500</v>
          </cell>
          <cell r="D516" t="str">
            <v>M</v>
          </cell>
          <cell r="E516">
            <v>227</v>
          </cell>
          <cell r="F516">
            <v>794500</v>
          </cell>
          <cell r="G516">
            <v>0</v>
          </cell>
          <cell r="H516">
            <v>0</v>
          </cell>
          <cell r="I516">
            <v>0.25</v>
          </cell>
          <cell r="J516">
            <v>875</v>
          </cell>
          <cell r="K516">
            <v>227</v>
          </cell>
          <cell r="L516">
            <v>794500</v>
          </cell>
          <cell r="M516">
            <v>0</v>
          </cell>
          <cell r="N516">
            <v>0</v>
          </cell>
          <cell r="O516">
            <v>70</v>
          </cell>
          <cell r="P516">
            <v>245000</v>
          </cell>
        </row>
        <row r="517">
          <cell r="B517" t="str">
            <v>????  12TxAWG#14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</row>
        <row r="518">
          <cell r="A518">
            <v>23</v>
          </cell>
          <cell r="B518" t="str">
            <v>300V????,PVC??,????(OVERALL &amp; INDIVID)PVC</v>
          </cell>
          <cell r="C518">
            <v>350</v>
          </cell>
          <cell r="D518" t="str">
            <v>M</v>
          </cell>
          <cell r="E518">
            <v>471</v>
          </cell>
          <cell r="F518">
            <v>164850</v>
          </cell>
          <cell r="G518">
            <v>0</v>
          </cell>
          <cell r="H518">
            <v>0</v>
          </cell>
          <cell r="I518">
            <v>0.4</v>
          </cell>
          <cell r="J518">
            <v>140</v>
          </cell>
          <cell r="K518">
            <v>471</v>
          </cell>
          <cell r="L518">
            <v>164850</v>
          </cell>
          <cell r="M518">
            <v>0</v>
          </cell>
          <cell r="N518">
            <v>0</v>
          </cell>
          <cell r="O518">
            <v>112</v>
          </cell>
          <cell r="P518">
            <v>39200</v>
          </cell>
        </row>
        <row r="519">
          <cell r="B519" t="str">
            <v>???? 24TxAWG#14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</row>
        <row r="520">
          <cell r="A520">
            <v>24</v>
          </cell>
          <cell r="B520" t="str">
            <v>HOT DIPPED GALV, STEEL CHANNEL 100X50X5X7.5</v>
          </cell>
          <cell r="C520">
            <v>50</v>
          </cell>
          <cell r="D520" t="str">
            <v>M</v>
          </cell>
          <cell r="E520">
            <v>200</v>
          </cell>
          <cell r="F520">
            <v>10000</v>
          </cell>
          <cell r="G520">
            <v>0</v>
          </cell>
          <cell r="H520">
            <v>0</v>
          </cell>
          <cell r="I520">
            <v>1.5</v>
          </cell>
          <cell r="J520">
            <v>75</v>
          </cell>
          <cell r="K520">
            <v>200</v>
          </cell>
          <cell r="L520">
            <v>10000</v>
          </cell>
          <cell r="M520">
            <v>0</v>
          </cell>
          <cell r="N520">
            <v>0</v>
          </cell>
          <cell r="O520">
            <v>420</v>
          </cell>
          <cell r="P520">
            <v>21000</v>
          </cell>
        </row>
        <row r="521">
          <cell r="A521">
            <v>25</v>
          </cell>
          <cell r="B521" t="str">
            <v>HOT DIPPED GALV, U- CHANNEL 41X41</v>
          </cell>
          <cell r="C521">
            <v>335</v>
          </cell>
          <cell r="D521" t="str">
            <v>M</v>
          </cell>
          <cell r="E521">
            <v>82</v>
          </cell>
          <cell r="F521">
            <v>27470</v>
          </cell>
          <cell r="G521">
            <v>0</v>
          </cell>
          <cell r="H521">
            <v>0</v>
          </cell>
          <cell r="I521">
            <v>0.40699999999999997</v>
          </cell>
          <cell r="J521">
            <v>136</v>
          </cell>
          <cell r="K521">
            <v>82</v>
          </cell>
          <cell r="L521">
            <v>27470</v>
          </cell>
          <cell r="M521">
            <v>0</v>
          </cell>
          <cell r="N521">
            <v>0</v>
          </cell>
          <cell r="O521">
            <v>114</v>
          </cell>
          <cell r="P521">
            <v>38190</v>
          </cell>
        </row>
        <row r="522">
          <cell r="A522">
            <v>26</v>
          </cell>
          <cell r="B522" t="str">
            <v>FLEXIBLE CONDUIT 1"</v>
          </cell>
          <cell r="C522">
            <v>40</v>
          </cell>
          <cell r="D522" t="str">
            <v>M</v>
          </cell>
          <cell r="E522">
            <v>252</v>
          </cell>
          <cell r="F522">
            <v>10080</v>
          </cell>
          <cell r="G522">
            <v>0</v>
          </cell>
          <cell r="H522">
            <v>0</v>
          </cell>
          <cell r="I522">
            <v>0.64</v>
          </cell>
          <cell r="J522">
            <v>26</v>
          </cell>
          <cell r="K522">
            <v>252</v>
          </cell>
          <cell r="L522">
            <v>10080</v>
          </cell>
          <cell r="M522">
            <v>0</v>
          </cell>
          <cell r="N522">
            <v>0</v>
          </cell>
          <cell r="O522">
            <v>179</v>
          </cell>
          <cell r="P522">
            <v>7160</v>
          </cell>
        </row>
        <row r="523">
          <cell r="A523">
            <v>27</v>
          </cell>
          <cell r="B523" t="str">
            <v>HOT DIPPED GALV. STEEL PLATE 1829X6401X3t</v>
          </cell>
          <cell r="C523">
            <v>2</v>
          </cell>
          <cell r="D523" t="str">
            <v>PCS</v>
          </cell>
          <cell r="E523">
            <v>1000</v>
          </cell>
          <cell r="F523">
            <v>2000</v>
          </cell>
          <cell r="G523">
            <v>0</v>
          </cell>
          <cell r="H523">
            <v>0</v>
          </cell>
          <cell r="I523">
            <v>10</v>
          </cell>
          <cell r="J523">
            <v>20</v>
          </cell>
          <cell r="K523">
            <v>1000</v>
          </cell>
          <cell r="L523">
            <v>2000</v>
          </cell>
          <cell r="M523">
            <v>0</v>
          </cell>
          <cell r="N523">
            <v>0</v>
          </cell>
          <cell r="O523">
            <v>2800</v>
          </cell>
          <cell r="P523">
            <v>5600</v>
          </cell>
        </row>
        <row r="524">
          <cell r="A524">
            <v>28</v>
          </cell>
          <cell r="B524" t="str">
            <v>1/4?(??30??)????????????SS316?</v>
          </cell>
          <cell r="C524">
            <v>4</v>
          </cell>
          <cell r="D524" t="str">
            <v>PCS</v>
          </cell>
          <cell r="E524">
            <v>3000</v>
          </cell>
          <cell r="F524">
            <v>12000</v>
          </cell>
          <cell r="G524">
            <v>0</v>
          </cell>
          <cell r="H524">
            <v>0</v>
          </cell>
          <cell r="I524">
            <v>4</v>
          </cell>
          <cell r="J524">
            <v>16</v>
          </cell>
          <cell r="K524">
            <v>3000</v>
          </cell>
          <cell r="L524">
            <v>12000</v>
          </cell>
          <cell r="M524">
            <v>0</v>
          </cell>
          <cell r="N524">
            <v>0</v>
          </cell>
          <cell r="O524">
            <v>1120</v>
          </cell>
          <cell r="P524">
            <v>4480</v>
          </cell>
        </row>
        <row r="525">
          <cell r="A525">
            <v>29</v>
          </cell>
          <cell r="B525" t="str">
            <v>???,????20P,FRP??,?????</v>
          </cell>
          <cell r="C525">
            <v>5</v>
          </cell>
          <cell r="D525" t="str">
            <v>SET</v>
          </cell>
          <cell r="E525">
            <v>3500</v>
          </cell>
          <cell r="F525">
            <v>17500</v>
          </cell>
          <cell r="G525">
            <v>0</v>
          </cell>
          <cell r="H525">
            <v>0</v>
          </cell>
          <cell r="I525">
            <v>4</v>
          </cell>
          <cell r="J525">
            <v>20</v>
          </cell>
          <cell r="K525">
            <v>3500</v>
          </cell>
          <cell r="L525">
            <v>17500</v>
          </cell>
          <cell r="M525">
            <v>0</v>
          </cell>
          <cell r="N525">
            <v>0</v>
          </cell>
          <cell r="O525">
            <v>1120</v>
          </cell>
          <cell r="P525">
            <v>5600</v>
          </cell>
        </row>
        <row r="526">
          <cell r="A526">
            <v>30</v>
          </cell>
          <cell r="B526" t="str">
            <v>???,????50P,FRP??,?????</v>
          </cell>
          <cell r="C526">
            <v>4</v>
          </cell>
          <cell r="D526" t="str">
            <v>SET</v>
          </cell>
          <cell r="E526">
            <v>5500</v>
          </cell>
          <cell r="F526">
            <v>22000</v>
          </cell>
          <cell r="G526">
            <v>0</v>
          </cell>
          <cell r="H526">
            <v>0</v>
          </cell>
          <cell r="I526">
            <v>8</v>
          </cell>
          <cell r="J526">
            <v>32</v>
          </cell>
          <cell r="K526">
            <v>5500</v>
          </cell>
          <cell r="L526">
            <v>22000</v>
          </cell>
          <cell r="M526">
            <v>0</v>
          </cell>
          <cell r="N526">
            <v>0</v>
          </cell>
          <cell r="O526">
            <v>2240</v>
          </cell>
          <cell r="P526">
            <v>8960</v>
          </cell>
        </row>
        <row r="527">
          <cell r="A527">
            <v>31</v>
          </cell>
          <cell r="B527" t="str">
            <v>???,????100P,FRP??,?????</v>
          </cell>
          <cell r="C527">
            <v>1</v>
          </cell>
          <cell r="D527" t="str">
            <v>SET</v>
          </cell>
          <cell r="E527">
            <v>9000</v>
          </cell>
          <cell r="F527">
            <v>9000</v>
          </cell>
          <cell r="G527">
            <v>0</v>
          </cell>
          <cell r="H527">
            <v>0</v>
          </cell>
          <cell r="I527">
            <v>12</v>
          </cell>
          <cell r="J527">
            <v>12</v>
          </cell>
          <cell r="K527">
            <v>9000</v>
          </cell>
          <cell r="L527">
            <v>9000</v>
          </cell>
          <cell r="M527">
            <v>0</v>
          </cell>
          <cell r="N527">
            <v>0</v>
          </cell>
          <cell r="O527">
            <v>3360</v>
          </cell>
          <cell r="P527">
            <v>3360</v>
          </cell>
        </row>
        <row r="528">
          <cell r="A528">
            <v>32</v>
          </cell>
          <cell r="B528" t="str">
            <v>HOT DIPPED GALV, STEEL CHANNEL 100X50X5X7.5X2.4?</v>
          </cell>
          <cell r="C528">
            <v>26</v>
          </cell>
          <cell r="D528" t="str">
            <v>SET</v>
          </cell>
          <cell r="E528">
            <v>2400</v>
          </cell>
          <cell r="F528">
            <v>62400</v>
          </cell>
          <cell r="G528">
            <v>0</v>
          </cell>
          <cell r="H528">
            <v>0</v>
          </cell>
          <cell r="I528">
            <v>3</v>
          </cell>
          <cell r="J528">
            <v>78</v>
          </cell>
          <cell r="K528">
            <v>2400</v>
          </cell>
          <cell r="L528">
            <v>62400</v>
          </cell>
          <cell r="M528">
            <v>0</v>
          </cell>
          <cell r="N528">
            <v>0</v>
          </cell>
          <cell r="O528">
            <v>840</v>
          </cell>
          <cell r="P528">
            <v>21840</v>
          </cell>
        </row>
        <row r="529">
          <cell r="B529" t="str">
            <v>???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</row>
        <row r="530">
          <cell r="A530">
            <v>33</v>
          </cell>
          <cell r="B530" t="str">
            <v>DITTO, BUT STEEL CHANNEL ?3.6M?</v>
          </cell>
          <cell r="C530">
            <v>13</v>
          </cell>
          <cell r="D530" t="str">
            <v>SET</v>
          </cell>
          <cell r="E530">
            <v>3600</v>
          </cell>
          <cell r="F530">
            <v>46800</v>
          </cell>
          <cell r="G530">
            <v>0</v>
          </cell>
          <cell r="H530">
            <v>0</v>
          </cell>
          <cell r="I530">
            <v>4</v>
          </cell>
          <cell r="J530">
            <v>52</v>
          </cell>
          <cell r="K530">
            <v>3600</v>
          </cell>
          <cell r="L530">
            <v>46800</v>
          </cell>
          <cell r="M530">
            <v>0</v>
          </cell>
          <cell r="N530">
            <v>0</v>
          </cell>
          <cell r="O530">
            <v>1120</v>
          </cell>
          <cell r="P530">
            <v>14560</v>
          </cell>
        </row>
        <row r="531">
          <cell r="A531">
            <v>34</v>
          </cell>
          <cell r="B531" t="str">
            <v>DITTO, BUT STEEL CHANNEL ?1.95M?</v>
          </cell>
          <cell r="C531">
            <v>3</v>
          </cell>
          <cell r="D531" t="str">
            <v>SET</v>
          </cell>
          <cell r="E531">
            <v>2000</v>
          </cell>
          <cell r="F531">
            <v>6000</v>
          </cell>
          <cell r="G531">
            <v>0</v>
          </cell>
          <cell r="H531">
            <v>0</v>
          </cell>
          <cell r="I531">
            <v>3</v>
          </cell>
          <cell r="J531">
            <v>9</v>
          </cell>
          <cell r="K531">
            <v>2000</v>
          </cell>
          <cell r="L531">
            <v>6000</v>
          </cell>
          <cell r="M531">
            <v>0</v>
          </cell>
          <cell r="N531">
            <v>0</v>
          </cell>
          <cell r="O531">
            <v>840</v>
          </cell>
          <cell r="P531">
            <v>2520</v>
          </cell>
        </row>
        <row r="532">
          <cell r="A532">
            <v>35</v>
          </cell>
          <cell r="B532" t="str">
            <v xml:space="preserve">MISCELLANEOUS </v>
          </cell>
          <cell r="C532">
            <v>1</v>
          </cell>
          <cell r="D532" t="str">
            <v>LOT</v>
          </cell>
          <cell r="E532">
            <v>743902.5</v>
          </cell>
          <cell r="F532">
            <v>743903</v>
          </cell>
          <cell r="G532">
            <v>0</v>
          </cell>
          <cell r="H532">
            <v>0</v>
          </cell>
          <cell r="I532">
            <v>646.55000000000007</v>
          </cell>
          <cell r="J532">
            <v>647</v>
          </cell>
          <cell r="K532">
            <v>743903</v>
          </cell>
          <cell r="L532">
            <v>743903</v>
          </cell>
          <cell r="M532">
            <v>0</v>
          </cell>
          <cell r="N532">
            <v>0</v>
          </cell>
          <cell r="O532">
            <v>181034</v>
          </cell>
          <cell r="P532">
            <v>181034</v>
          </cell>
        </row>
        <row r="533">
          <cell r="B533" t="str">
            <v>SUB-TOTAL : (I)</v>
          </cell>
          <cell r="C533">
            <v>0</v>
          </cell>
          <cell r="D533">
            <v>0</v>
          </cell>
          <cell r="E533">
            <v>0</v>
          </cell>
          <cell r="F533">
            <v>15621953</v>
          </cell>
          <cell r="G533">
            <v>0</v>
          </cell>
          <cell r="H533">
            <v>0</v>
          </cell>
          <cell r="I533">
            <v>0</v>
          </cell>
          <cell r="J533">
            <v>13628</v>
          </cell>
          <cell r="K533">
            <v>0</v>
          </cell>
          <cell r="L533">
            <v>15621953</v>
          </cell>
          <cell r="M533">
            <v>0</v>
          </cell>
          <cell r="N533">
            <v>0</v>
          </cell>
          <cell r="O533">
            <v>0</v>
          </cell>
          <cell r="P533">
            <v>3816326</v>
          </cell>
        </row>
        <row r="536">
          <cell r="A536" t="str">
            <v>J.</v>
          </cell>
          <cell r="B536" t="str">
            <v>U/G CONDUIT BANK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</row>
        <row r="538">
          <cell r="A538" t="str">
            <v>J.1</v>
          </cell>
          <cell r="B538" t="str">
            <v>U/G CONDUIT BANK FOR TEL., P/P, CCTV, APS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</row>
        <row r="539">
          <cell r="A539" t="str">
            <v>J.1.1</v>
          </cell>
          <cell r="B539" t="str">
            <v xml:space="preserve"> PVC CONDUIT, THICK WALL, CNS1302 SCH. B , 1"</v>
          </cell>
          <cell r="C539">
            <v>800</v>
          </cell>
          <cell r="D539" t="str">
            <v>M</v>
          </cell>
          <cell r="E539">
            <v>16</v>
          </cell>
          <cell r="F539">
            <v>12800</v>
          </cell>
          <cell r="G539">
            <v>0</v>
          </cell>
          <cell r="H539">
            <v>0</v>
          </cell>
          <cell r="I539">
            <v>0.22</v>
          </cell>
          <cell r="J539">
            <v>176</v>
          </cell>
          <cell r="K539">
            <v>16</v>
          </cell>
          <cell r="L539">
            <v>12800</v>
          </cell>
          <cell r="M539">
            <v>0</v>
          </cell>
          <cell r="N539">
            <v>0</v>
          </cell>
          <cell r="O539">
            <v>62</v>
          </cell>
          <cell r="P539">
            <v>49600</v>
          </cell>
        </row>
        <row r="540">
          <cell r="A540" t="str">
            <v>J.1.2</v>
          </cell>
          <cell r="B540" t="str">
            <v xml:space="preserve"> PVC CONDUIT, THICK WALL, CNS1302 SCH. B , 2"</v>
          </cell>
          <cell r="C540">
            <v>22000</v>
          </cell>
          <cell r="D540" t="str">
            <v>M</v>
          </cell>
          <cell r="E540">
            <v>38</v>
          </cell>
          <cell r="F540">
            <v>836000</v>
          </cell>
          <cell r="G540">
            <v>0</v>
          </cell>
          <cell r="H540">
            <v>0</v>
          </cell>
          <cell r="I540">
            <v>0.3</v>
          </cell>
          <cell r="J540">
            <v>6600</v>
          </cell>
          <cell r="K540">
            <v>38</v>
          </cell>
          <cell r="L540">
            <v>836000</v>
          </cell>
          <cell r="M540">
            <v>0</v>
          </cell>
          <cell r="N540">
            <v>0</v>
          </cell>
          <cell r="O540">
            <v>84</v>
          </cell>
          <cell r="P540">
            <v>1848000</v>
          </cell>
        </row>
        <row r="541">
          <cell r="A541" t="str">
            <v>J.1.3</v>
          </cell>
          <cell r="B541" t="str">
            <v xml:space="preserve"> PVC CONDUIT, THICK WALL, CNS1302 SCH. B , 4"</v>
          </cell>
          <cell r="C541">
            <v>16500</v>
          </cell>
          <cell r="D541" t="str">
            <v>M</v>
          </cell>
          <cell r="E541">
            <v>128</v>
          </cell>
          <cell r="F541">
            <v>2112000</v>
          </cell>
          <cell r="G541">
            <v>0</v>
          </cell>
          <cell r="H541">
            <v>0</v>
          </cell>
          <cell r="I541">
            <v>0.43</v>
          </cell>
          <cell r="J541">
            <v>7095</v>
          </cell>
          <cell r="K541">
            <v>128</v>
          </cell>
          <cell r="L541">
            <v>2112000</v>
          </cell>
          <cell r="M541">
            <v>0</v>
          </cell>
          <cell r="N541">
            <v>0</v>
          </cell>
          <cell r="O541">
            <v>120</v>
          </cell>
          <cell r="P541">
            <v>1980000</v>
          </cell>
        </row>
        <row r="542">
          <cell r="A542" t="str">
            <v>J.1.4</v>
          </cell>
          <cell r="B542" t="str">
            <v xml:space="preserve"> PVC CONDUIT, THICK WALL, CNS1302 SCH. B , 6"</v>
          </cell>
          <cell r="C542">
            <v>8000</v>
          </cell>
          <cell r="D542" t="str">
            <v>M</v>
          </cell>
          <cell r="E542">
            <v>242</v>
          </cell>
          <cell r="F542">
            <v>1936000</v>
          </cell>
          <cell r="G542">
            <v>0</v>
          </cell>
          <cell r="H542">
            <v>0</v>
          </cell>
          <cell r="I542">
            <v>0.68</v>
          </cell>
          <cell r="J542">
            <v>5440</v>
          </cell>
          <cell r="K542">
            <v>242</v>
          </cell>
          <cell r="L542">
            <v>1936000</v>
          </cell>
          <cell r="M542">
            <v>0</v>
          </cell>
          <cell r="N542">
            <v>0</v>
          </cell>
          <cell r="O542">
            <v>190</v>
          </cell>
          <cell r="P542">
            <v>1520000</v>
          </cell>
        </row>
        <row r="543">
          <cell r="A543" t="str">
            <v>J.1.5</v>
          </cell>
          <cell r="B543" t="str">
            <v xml:space="preserve"> EXCAVATION</v>
          </cell>
          <cell r="C543">
            <v>7000</v>
          </cell>
          <cell r="D543" t="str">
            <v>M3</v>
          </cell>
          <cell r="E543" t="str">
            <v>M+L</v>
          </cell>
          <cell r="F543" t="str">
            <v>M+L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 t="str">
            <v>M+L</v>
          </cell>
          <cell r="L543" t="str">
            <v>M+L</v>
          </cell>
          <cell r="M543">
            <v>0</v>
          </cell>
          <cell r="N543">
            <v>0</v>
          </cell>
          <cell r="O543">
            <v>60</v>
          </cell>
          <cell r="P543">
            <v>420000</v>
          </cell>
        </row>
        <row r="544">
          <cell r="A544" t="str">
            <v>J.1.6</v>
          </cell>
          <cell r="B544" t="str">
            <v xml:space="preserve"> BACKFILL</v>
          </cell>
          <cell r="C544">
            <v>5100</v>
          </cell>
          <cell r="D544" t="str">
            <v>M3</v>
          </cell>
          <cell r="E544" t="str">
            <v>M+L</v>
          </cell>
          <cell r="F544" t="str">
            <v>M+L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 t="str">
            <v>M+L</v>
          </cell>
          <cell r="L544" t="str">
            <v>M+L</v>
          </cell>
          <cell r="M544">
            <v>0</v>
          </cell>
          <cell r="N544">
            <v>0</v>
          </cell>
          <cell r="O544">
            <v>100</v>
          </cell>
          <cell r="P544">
            <v>510000</v>
          </cell>
        </row>
        <row r="545">
          <cell r="A545" t="str">
            <v>J.1.7</v>
          </cell>
          <cell r="B545" t="str">
            <v xml:space="preserve"> CONCRETE FOR DUCT BANK 2000 PSI</v>
          </cell>
          <cell r="C545">
            <v>1900</v>
          </cell>
          <cell r="D545" t="str">
            <v>M3</v>
          </cell>
          <cell r="E545" t="str">
            <v>M+L</v>
          </cell>
          <cell r="F545" t="str">
            <v>M+L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 t="str">
            <v>M+L</v>
          </cell>
          <cell r="L545" t="str">
            <v>M+L</v>
          </cell>
          <cell r="M545">
            <v>0</v>
          </cell>
          <cell r="N545">
            <v>0</v>
          </cell>
          <cell r="O545">
            <v>1700</v>
          </cell>
          <cell r="P545">
            <v>3230000</v>
          </cell>
        </row>
        <row r="546">
          <cell r="A546" t="str">
            <v>J.1.8</v>
          </cell>
          <cell r="B546" t="str">
            <v xml:space="preserve"> RED COLORED OXIDE</v>
          </cell>
          <cell r="C546">
            <v>17100</v>
          </cell>
          <cell r="D546" t="str">
            <v>KG</v>
          </cell>
          <cell r="E546" t="str">
            <v>M+L</v>
          </cell>
          <cell r="F546" t="str">
            <v>M+L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 t="str">
            <v>M+L</v>
          </cell>
          <cell r="L546" t="str">
            <v>M+L</v>
          </cell>
          <cell r="M546">
            <v>0</v>
          </cell>
          <cell r="N546">
            <v>0</v>
          </cell>
          <cell r="O546">
            <v>60</v>
          </cell>
          <cell r="P546">
            <v>1026000</v>
          </cell>
          <cell r="Q546">
            <v>6089</v>
          </cell>
        </row>
        <row r="547">
          <cell r="A547" t="str">
            <v>J.1.9</v>
          </cell>
          <cell r="B547" t="str">
            <v xml:space="preserve"> DISPOSAL</v>
          </cell>
          <cell r="C547">
            <v>1900</v>
          </cell>
          <cell r="D547" t="str">
            <v>M3</v>
          </cell>
          <cell r="E547" t="str">
            <v>M+L</v>
          </cell>
          <cell r="F547" t="str">
            <v>M+L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 t="str">
            <v>M+L</v>
          </cell>
          <cell r="L547" t="str">
            <v>M+L</v>
          </cell>
          <cell r="M547">
            <v>0</v>
          </cell>
          <cell r="N547">
            <v>0</v>
          </cell>
          <cell r="O547">
            <v>220</v>
          </cell>
          <cell r="P547">
            <v>418000</v>
          </cell>
        </row>
        <row r="548">
          <cell r="A548" t="str">
            <v>J.1.10</v>
          </cell>
          <cell r="B548" t="str">
            <v xml:space="preserve"> FORMWORK</v>
          </cell>
          <cell r="C548">
            <v>5200</v>
          </cell>
          <cell r="D548" t="str">
            <v>M2</v>
          </cell>
          <cell r="E548" t="str">
            <v>M+L</v>
          </cell>
          <cell r="F548" t="str">
            <v>M+L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 t="str">
            <v>M+L</v>
          </cell>
          <cell r="L548" t="str">
            <v>M+L</v>
          </cell>
          <cell r="M548">
            <v>0</v>
          </cell>
          <cell r="N548">
            <v>0</v>
          </cell>
          <cell r="O548">
            <v>360</v>
          </cell>
          <cell r="P548">
            <v>1872000</v>
          </cell>
        </row>
        <row r="549">
          <cell r="A549" t="str">
            <v>J.1.11</v>
          </cell>
          <cell r="B549" t="str">
            <v xml:space="preserve"> RE-BAR</v>
          </cell>
          <cell r="C549">
            <v>36500</v>
          </cell>
          <cell r="D549" t="str">
            <v>KG</v>
          </cell>
          <cell r="E549" t="str">
            <v>M+L</v>
          </cell>
          <cell r="F549" t="str">
            <v>M+L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 t="str">
            <v>M+L</v>
          </cell>
          <cell r="L549" t="str">
            <v>M+L</v>
          </cell>
          <cell r="M549">
            <v>0</v>
          </cell>
          <cell r="N549">
            <v>0</v>
          </cell>
          <cell r="O549">
            <v>16</v>
          </cell>
          <cell r="P549">
            <v>584000</v>
          </cell>
        </row>
        <row r="550">
          <cell r="A550" t="str">
            <v>J.1.12</v>
          </cell>
          <cell r="B550" t="str">
            <v xml:space="preserve"> MAN-HOLE, 2,000 L x 2,000 W x 2,000 D</v>
          </cell>
          <cell r="C550">
            <v>24</v>
          </cell>
          <cell r="D550" t="str">
            <v>SET</v>
          </cell>
          <cell r="E550" t="str">
            <v>M+L</v>
          </cell>
          <cell r="F550" t="str">
            <v>M+L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 t="str">
            <v>M+L</v>
          </cell>
          <cell r="L550" t="str">
            <v>M+L</v>
          </cell>
          <cell r="M550">
            <v>0</v>
          </cell>
          <cell r="N550">
            <v>0</v>
          </cell>
          <cell r="O550">
            <v>65000</v>
          </cell>
          <cell r="P550">
            <v>1560000</v>
          </cell>
        </row>
        <row r="551">
          <cell r="A551" t="str">
            <v>J.1.13</v>
          </cell>
          <cell r="B551" t="str">
            <v xml:space="preserve"> MAN-HOLE, 1,500 L x 1,500 W x 2,000 D</v>
          </cell>
          <cell r="C551">
            <v>0</v>
          </cell>
          <cell r="D551" t="str">
            <v>SET</v>
          </cell>
          <cell r="E551" t="str">
            <v>M+L</v>
          </cell>
          <cell r="F551" t="str">
            <v>M+L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 t="str">
            <v>M+L</v>
          </cell>
          <cell r="L551" t="str">
            <v>M+L</v>
          </cell>
          <cell r="M551">
            <v>0</v>
          </cell>
          <cell r="N551">
            <v>0</v>
          </cell>
          <cell r="O551">
            <v>52000</v>
          </cell>
          <cell r="P551">
            <v>0</v>
          </cell>
        </row>
        <row r="552">
          <cell r="A552" t="str">
            <v>J.1.14</v>
          </cell>
          <cell r="B552" t="str">
            <v xml:space="preserve"> COMPOND FOR WATER SEALING(IN MH.)</v>
          </cell>
          <cell r="C552">
            <v>2500</v>
          </cell>
          <cell r="D552" t="str">
            <v>KG</v>
          </cell>
          <cell r="E552" t="str">
            <v>M+L</v>
          </cell>
          <cell r="F552" t="str">
            <v>M+L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 t="str">
            <v>M+L</v>
          </cell>
          <cell r="L552" t="str">
            <v>M+L</v>
          </cell>
          <cell r="M552">
            <v>0</v>
          </cell>
          <cell r="N552">
            <v>0</v>
          </cell>
          <cell r="O552">
            <v>200</v>
          </cell>
          <cell r="P552">
            <v>500000</v>
          </cell>
        </row>
        <row r="553">
          <cell r="B553" t="str">
            <v>SUB-TOTAL : (J.1)</v>
          </cell>
          <cell r="C553">
            <v>0</v>
          </cell>
          <cell r="D553">
            <v>0</v>
          </cell>
          <cell r="E553">
            <v>0</v>
          </cell>
          <cell r="F553">
            <v>4896800</v>
          </cell>
          <cell r="G553">
            <v>0</v>
          </cell>
          <cell r="H553">
            <v>0</v>
          </cell>
          <cell r="I553">
            <v>0</v>
          </cell>
          <cell r="J553">
            <v>19311</v>
          </cell>
          <cell r="K553">
            <v>0</v>
          </cell>
          <cell r="L553">
            <v>4896800</v>
          </cell>
          <cell r="M553">
            <v>0</v>
          </cell>
          <cell r="N553">
            <v>0</v>
          </cell>
          <cell r="O553">
            <v>0</v>
          </cell>
          <cell r="P553">
            <v>15517600</v>
          </cell>
        </row>
        <row r="555">
          <cell r="A555" t="str">
            <v>J.2</v>
          </cell>
          <cell r="B555" t="str">
            <v>U/G CONDUIT BANK FOR TEL., P/P, CCTV, APS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0.22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</row>
        <row r="556">
          <cell r="A556" t="str">
            <v>J.2.1</v>
          </cell>
          <cell r="B556" t="str">
            <v xml:space="preserve"> PVC CONDUIT, THICK WALL, CNS1302 SCH. B , 1"</v>
          </cell>
          <cell r="C556">
            <v>1000</v>
          </cell>
          <cell r="D556" t="str">
            <v>M</v>
          </cell>
          <cell r="E556">
            <v>16</v>
          </cell>
          <cell r="F556">
            <v>16000</v>
          </cell>
          <cell r="G556">
            <v>0</v>
          </cell>
          <cell r="H556">
            <v>0</v>
          </cell>
          <cell r="I556">
            <v>0.22</v>
          </cell>
          <cell r="J556">
            <v>220</v>
          </cell>
          <cell r="K556">
            <v>16</v>
          </cell>
          <cell r="L556">
            <v>16000</v>
          </cell>
          <cell r="M556">
            <v>0</v>
          </cell>
          <cell r="N556">
            <v>0</v>
          </cell>
          <cell r="O556">
            <v>62</v>
          </cell>
          <cell r="P556">
            <v>62000</v>
          </cell>
        </row>
        <row r="557">
          <cell r="A557" t="str">
            <v>J.2.2</v>
          </cell>
          <cell r="B557" t="str">
            <v xml:space="preserve"> PVC CONDUIT, THICK WALL, CNS1302 SCH. B , 2"</v>
          </cell>
          <cell r="C557">
            <v>26000</v>
          </cell>
          <cell r="D557" t="str">
            <v>M</v>
          </cell>
          <cell r="E557">
            <v>38</v>
          </cell>
          <cell r="F557">
            <v>988000</v>
          </cell>
          <cell r="G557">
            <v>0</v>
          </cell>
          <cell r="H557">
            <v>0</v>
          </cell>
          <cell r="I557">
            <v>0.3</v>
          </cell>
          <cell r="J557">
            <v>7800</v>
          </cell>
          <cell r="K557">
            <v>38</v>
          </cell>
          <cell r="L557">
            <v>988000</v>
          </cell>
          <cell r="M557">
            <v>0</v>
          </cell>
          <cell r="N557">
            <v>0</v>
          </cell>
          <cell r="O557">
            <v>84</v>
          </cell>
          <cell r="P557">
            <v>2184000</v>
          </cell>
        </row>
        <row r="558">
          <cell r="A558" t="str">
            <v>J.2.3</v>
          </cell>
          <cell r="B558" t="str">
            <v xml:space="preserve"> EXCAVATION</v>
          </cell>
          <cell r="C558">
            <v>3500</v>
          </cell>
          <cell r="D558" t="str">
            <v>M3</v>
          </cell>
          <cell r="E558" t="str">
            <v>M+L</v>
          </cell>
          <cell r="F558" t="str">
            <v>M+L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 t="str">
            <v>M+L</v>
          </cell>
          <cell r="L558" t="str">
            <v>M+L</v>
          </cell>
          <cell r="M558">
            <v>0</v>
          </cell>
          <cell r="N558">
            <v>0</v>
          </cell>
          <cell r="O558">
            <v>60</v>
          </cell>
          <cell r="P558">
            <v>210000</v>
          </cell>
        </row>
        <row r="559">
          <cell r="A559" t="str">
            <v>J.2.4</v>
          </cell>
          <cell r="B559" t="str">
            <v xml:space="preserve"> BACKFILL</v>
          </cell>
          <cell r="C559">
            <v>2550</v>
          </cell>
          <cell r="D559" t="str">
            <v>M3</v>
          </cell>
          <cell r="E559" t="str">
            <v>M+L</v>
          </cell>
          <cell r="F559" t="str">
            <v>M+L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 t="str">
            <v>M+L</v>
          </cell>
          <cell r="L559" t="str">
            <v>M+L</v>
          </cell>
          <cell r="M559">
            <v>0</v>
          </cell>
          <cell r="N559">
            <v>0</v>
          </cell>
          <cell r="O559">
            <v>100</v>
          </cell>
          <cell r="P559">
            <v>255000</v>
          </cell>
        </row>
        <row r="560">
          <cell r="A560" t="str">
            <v>J.2.5</v>
          </cell>
          <cell r="B560" t="str">
            <v xml:space="preserve"> CONCRETE FOR DUCT BANK 2000 PSI</v>
          </cell>
          <cell r="C560">
            <v>950</v>
          </cell>
          <cell r="D560" t="str">
            <v>M3</v>
          </cell>
          <cell r="E560" t="str">
            <v>M+L</v>
          </cell>
          <cell r="F560" t="str">
            <v>M+L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 t="str">
            <v>M+L</v>
          </cell>
          <cell r="L560" t="str">
            <v>M+L</v>
          </cell>
          <cell r="M560">
            <v>0</v>
          </cell>
          <cell r="N560">
            <v>0</v>
          </cell>
          <cell r="O560">
            <v>1700</v>
          </cell>
          <cell r="P560">
            <v>1615000</v>
          </cell>
        </row>
        <row r="561">
          <cell r="A561" t="str">
            <v>J.2.6</v>
          </cell>
          <cell r="B561" t="str">
            <v xml:space="preserve"> RED COLORED OXIDE</v>
          </cell>
          <cell r="C561">
            <v>8550</v>
          </cell>
          <cell r="D561" t="str">
            <v>KG</v>
          </cell>
          <cell r="E561" t="str">
            <v>M+L</v>
          </cell>
          <cell r="F561" t="str">
            <v>M+L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 t="str">
            <v>M+L</v>
          </cell>
          <cell r="L561" t="str">
            <v>M+L</v>
          </cell>
          <cell r="M561">
            <v>0</v>
          </cell>
          <cell r="N561">
            <v>0</v>
          </cell>
          <cell r="O561">
            <v>60</v>
          </cell>
          <cell r="P561">
            <v>513000</v>
          </cell>
        </row>
        <row r="562">
          <cell r="A562" t="str">
            <v>J.2.7</v>
          </cell>
          <cell r="B562" t="str">
            <v xml:space="preserve"> DISPOSAL</v>
          </cell>
          <cell r="C562">
            <v>950</v>
          </cell>
          <cell r="D562" t="str">
            <v>M3</v>
          </cell>
          <cell r="E562" t="str">
            <v>M+L</v>
          </cell>
          <cell r="F562" t="str">
            <v>M+L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 t="str">
            <v>M+L</v>
          </cell>
          <cell r="L562" t="str">
            <v>M+L</v>
          </cell>
          <cell r="M562">
            <v>0</v>
          </cell>
          <cell r="N562">
            <v>0</v>
          </cell>
          <cell r="O562">
            <v>220</v>
          </cell>
          <cell r="P562">
            <v>209000</v>
          </cell>
        </row>
        <row r="563">
          <cell r="A563" t="str">
            <v>J.2.8</v>
          </cell>
          <cell r="B563" t="str">
            <v xml:space="preserve"> FORMWORK</v>
          </cell>
          <cell r="C563">
            <v>2000</v>
          </cell>
          <cell r="D563" t="str">
            <v>M2</v>
          </cell>
          <cell r="E563" t="str">
            <v>M+L</v>
          </cell>
          <cell r="F563" t="str">
            <v>M+L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 t="str">
            <v>M+L</v>
          </cell>
          <cell r="L563" t="str">
            <v>M+L</v>
          </cell>
          <cell r="M563">
            <v>0</v>
          </cell>
          <cell r="N563">
            <v>0</v>
          </cell>
          <cell r="O563">
            <v>360</v>
          </cell>
          <cell r="P563">
            <v>720000</v>
          </cell>
        </row>
        <row r="564">
          <cell r="A564" t="str">
            <v>J.2.9</v>
          </cell>
          <cell r="B564" t="str">
            <v xml:space="preserve"> RE-BAR</v>
          </cell>
          <cell r="C564">
            <v>18250</v>
          </cell>
          <cell r="D564" t="str">
            <v>KG</v>
          </cell>
          <cell r="E564" t="str">
            <v>M+L</v>
          </cell>
          <cell r="F564" t="str">
            <v>M+L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 t="str">
            <v>M+L</v>
          </cell>
          <cell r="L564" t="str">
            <v>M+L</v>
          </cell>
          <cell r="M564">
            <v>0</v>
          </cell>
          <cell r="N564">
            <v>0</v>
          </cell>
          <cell r="O564">
            <v>16</v>
          </cell>
          <cell r="P564">
            <v>292000</v>
          </cell>
        </row>
        <row r="565">
          <cell r="A565" t="str">
            <v>J.2.10</v>
          </cell>
          <cell r="B565" t="str">
            <v xml:space="preserve"> MAN-HOLE, (?????)</v>
          </cell>
          <cell r="C565">
            <v>0</v>
          </cell>
          <cell r="D565" t="str">
            <v>SET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</row>
        <row r="566">
          <cell r="A566" t="str">
            <v>J.2.11</v>
          </cell>
          <cell r="B566" t="str">
            <v xml:space="preserve"> HAND HOLE, 1200Lx1000Wx1200D</v>
          </cell>
          <cell r="C566">
            <v>7</v>
          </cell>
          <cell r="D566" t="str">
            <v>SET</v>
          </cell>
          <cell r="E566" t="str">
            <v>M+L</v>
          </cell>
          <cell r="F566" t="str">
            <v>M+L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 t="str">
            <v>M+L</v>
          </cell>
          <cell r="L566" t="str">
            <v>M+L</v>
          </cell>
          <cell r="M566">
            <v>0</v>
          </cell>
          <cell r="N566">
            <v>0</v>
          </cell>
          <cell r="O566">
            <v>18000</v>
          </cell>
          <cell r="P566">
            <v>126000</v>
          </cell>
        </row>
        <row r="567">
          <cell r="A567" t="str">
            <v>J.2.12</v>
          </cell>
          <cell r="B567" t="str">
            <v xml:space="preserve"> COMPOND FOR WATER SEALING(IN MH.)</v>
          </cell>
          <cell r="C567">
            <v>1250</v>
          </cell>
          <cell r="D567" t="str">
            <v>KG</v>
          </cell>
          <cell r="E567" t="str">
            <v>M+L</v>
          </cell>
          <cell r="F567" t="str">
            <v>M+L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 t="str">
            <v>M+L</v>
          </cell>
          <cell r="L567" t="str">
            <v>M+L</v>
          </cell>
          <cell r="M567">
            <v>0</v>
          </cell>
          <cell r="N567">
            <v>0</v>
          </cell>
          <cell r="O567">
            <v>200</v>
          </cell>
          <cell r="P567">
            <v>250000</v>
          </cell>
        </row>
        <row r="568">
          <cell r="B568" t="str">
            <v>SUB-TOTAL : (J.2)</v>
          </cell>
          <cell r="C568">
            <v>0</v>
          </cell>
          <cell r="D568">
            <v>0</v>
          </cell>
          <cell r="E568">
            <v>0</v>
          </cell>
          <cell r="F568">
            <v>1004000</v>
          </cell>
          <cell r="G568">
            <v>0</v>
          </cell>
          <cell r="H568">
            <v>0</v>
          </cell>
          <cell r="I568">
            <v>0</v>
          </cell>
          <cell r="J568">
            <v>8020</v>
          </cell>
          <cell r="K568">
            <v>0</v>
          </cell>
          <cell r="L568">
            <v>1004000</v>
          </cell>
          <cell r="M568">
            <v>0</v>
          </cell>
          <cell r="N568">
            <v>0</v>
          </cell>
          <cell r="O568">
            <v>0</v>
          </cell>
          <cell r="P568">
            <v>6436000</v>
          </cell>
        </row>
        <row r="569"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</row>
        <row r="570">
          <cell r="B570" t="str">
            <v>SUB-TOTAL : (J)</v>
          </cell>
          <cell r="C570">
            <v>0</v>
          </cell>
          <cell r="D570">
            <v>0</v>
          </cell>
          <cell r="E570">
            <v>0</v>
          </cell>
          <cell r="F570">
            <v>5900800</v>
          </cell>
          <cell r="G570">
            <v>0</v>
          </cell>
          <cell r="H570">
            <v>0</v>
          </cell>
          <cell r="I570">
            <v>0</v>
          </cell>
          <cell r="J570">
            <v>27331</v>
          </cell>
          <cell r="K570">
            <v>0</v>
          </cell>
          <cell r="L570">
            <v>5900800</v>
          </cell>
          <cell r="M570">
            <v>0</v>
          </cell>
          <cell r="N570">
            <v>0</v>
          </cell>
          <cell r="O570">
            <v>0</v>
          </cell>
          <cell r="P570">
            <v>21953600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/>
      <sheetData sheetId="492"/>
      <sheetData sheetId="493" refreshError="1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"/>
      <sheetName val="T-Tramcat"/>
      <sheetName val="TramCat"/>
      <sheetName val="T.Tinh"/>
      <sheetName val="CT_TBA"/>
      <sheetName val="T-35KV"/>
      <sheetName val="35KV"/>
      <sheetName val="KhoBai"/>
      <sheetName val="ChuyenQuan"/>
      <sheetName val="T-TBA"/>
      <sheetName val="TBA"/>
      <sheetName val="CTVanChuyen"/>
      <sheetName val="VLC_Tramcat"/>
      <sheetName val="VLC_35KV"/>
      <sheetName val="VLC_TBA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XL"/>
      <sheetName val="PCD"/>
      <sheetName val="THKL"/>
      <sheetName val="DTCT"/>
      <sheetName val="DGCT"/>
      <sheetName val="BGVL"/>
      <sheetName val="NC"/>
      <sheetName val="XM"/>
      <sheetName val="XL4Poppy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Baäc thôï</v>
          </cell>
          <cell r="C5" t="str">
            <v>Tieàn löông caàu</v>
          </cell>
          <cell r="D5" t="str">
            <v>Tieàn löông ñöôøng</v>
          </cell>
        </row>
        <row r="6">
          <cell r="B6">
            <v>2</v>
          </cell>
          <cell r="C6">
            <v>12552</v>
          </cell>
          <cell r="D6">
            <v>11924</v>
          </cell>
        </row>
        <row r="7">
          <cell r="B7">
            <v>2.1</v>
          </cell>
          <cell r="C7">
            <v>12685</v>
          </cell>
          <cell r="D7">
            <v>12043</v>
          </cell>
        </row>
        <row r="8">
          <cell r="B8">
            <v>2.2000000000000002</v>
          </cell>
          <cell r="C8">
            <v>12818</v>
          </cell>
          <cell r="D8">
            <v>12162</v>
          </cell>
        </row>
        <row r="9">
          <cell r="B9">
            <v>2.2999999999999998</v>
          </cell>
          <cell r="C9">
            <v>12950</v>
          </cell>
          <cell r="D9">
            <v>12280</v>
          </cell>
        </row>
        <row r="10">
          <cell r="B10">
            <v>2.4</v>
          </cell>
          <cell r="C10">
            <v>13083</v>
          </cell>
          <cell r="D10">
            <v>12399</v>
          </cell>
        </row>
        <row r="11">
          <cell r="B11">
            <v>2.5</v>
          </cell>
          <cell r="C11">
            <v>13215</v>
          </cell>
          <cell r="D11">
            <v>12517</v>
          </cell>
        </row>
        <row r="12">
          <cell r="B12">
            <v>2.6</v>
          </cell>
          <cell r="C12">
            <v>13348</v>
          </cell>
          <cell r="D12">
            <v>12636</v>
          </cell>
        </row>
        <row r="13">
          <cell r="B13">
            <v>2.7</v>
          </cell>
          <cell r="C13">
            <v>13481</v>
          </cell>
          <cell r="D13">
            <v>12755</v>
          </cell>
        </row>
        <row r="14">
          <cell r="B14">
            <v>2.8</v>
          </cell>
          <cell r="C14">
            <v>13613</v>
          </cell>
          <cell r="D14">
            <v>12873</v>
          </cell>
        </row>
        <row r="15">
          <cell r="B15">
            <v>2.9</v>
          </cell>
          <cell r="C15">
            <v>13746</v>
          </cell>
          <cell r="D15">
            <v>12992</v>
          </cell>
        </row>
        <row r="16">
          <cell r="B16">
            <v>3</v>
          </cell>
          <cell r="C16">
            <v>13878</v>
          </cell>
        </row>
        <row r="17">
          <cell r="B17">
            <v>3.1</v>
          </cell>
          <cell r="C17">
            <v>14025</v>
          </cell>
          <cell r="D17">
            <v>13250</v>
          </cell>
        </row>
        <row r="18">
          <cell r="B18">
            <v>3.2</v>
          </cell>
          <cell r="C18">
            <v>14171</v>
          </cell>
          <cell r="D18">
            <v>13390</v>
          </cell>
        </row>
        <row r="19">
          <cell r="B19">
            <v>3.3</v>
          </cell>
          <cell r="C19">
            <v>14318</v>
          </cell>
          <cell r="D19">
            <v>13529</v>
          </cell>
        </row>
        <row r="20">
          <cell r="B20">
            <v>3.4</v>
          </cell>
          <cell r="C20">
            <v>14464</v>
          </cell>
          <cell r="D20">
            <v>13669</v>
          </cell>
        </row>
        <row r="21">
          <cell r="B21">
            <v>3.5</v>
          </cell>
          <cell r="C21">
            <v>14611</v>
          </cell>
          <cell r="D21">
            <v>13808</v>
          </cell>
        </row>
        <row r="22">
          <cell r="B22">
            <v>3.6</v>
          </cell>
          <cell r="C22">
            <v>14758</v>
          </cell>
          <cell r="D22">
            <v>13948</v>
          </cell>
        </row>
        <row r="23">
          <cell r="B23">
            <v>3.7</v>
          </cell>
          <cell r="C23">
            <v>14904</v>
          </cell>
          <cell r="D23">
            <v>14088</v>
          </cell>
        </row>
        <row r="24">
          <cell r="B24">
            <v>3.8</v>
          </cell>
          <cell r="C24">
            <v>15051</v>
          </cell>
          <cell r="D24">
            <v>14227</v>
          </cell>
        </row>
        <row r="25">
          <cell r="B25">
            <v>3.9</v>
          </cell>
          <cell r="C25">
            <v>15197</v>
          </cell>
          <cell r="D25">
            <v>14367</v>
          </cell>
        </row>
        <row r="26">
          <cell r="B26">
            <v>4</v>
          </cell>
          <cell r="C26">
            <v>15344</v>
          </cell>
          <cell r="D26">
            <v>14506</v>
          </cell>
        </row>
        <row r="27">
          <cell r="B27">
            <v>4.0999999999999996</v>
          </cell>
          <cell r="C27">
            <v>15658</v>
          </cell>
          <cell r="D27">
            <v>14792</v>
          </cell>
        </row>
        <row r="28">
          <cell r="B28">
            <v>4.2</v>
          </cell>
          <cell r="C28">
            <v>15972</v>
          </cell>
          <cell r="D28">
            <v>15079</v>
          </cell>
        </row>
        <row r="29">
          <cell r="B29">
            <v>4.3</v>
          </cell>
          <cell r="C29">
            <v>16286</v>
          </cell>
          <cell r="D29">
            <v>15365</v>
          </cell>
        </row>
        <row r="30">
          <cell r="B30">
            <v>4.4000000000000004</v>
          </cell>
          <cell r="C30">
            <v>16600</v>
          </cell>
          <cell r="D30">
            <v>15651</v>
          </cell>
        </row>
        <row r="31">
          <cell r="B31">
            <v>4.5</v>
          </cell>
          <cell r="C31">
            <v>16914</v>
          </cell>
          <cell r="D31">
            <v>15937</v>
          </cell>
        </row>
        <row r="32">
          <cell r="B32">
            <v>4.5999999999999996</v>
          </cell>
          <cell r="C32">
            <v>17228</v>
          </cell>
          <cell r="D32">
            <v>16223</v>
          </cell>
        </row>
        <row r="33">
          <cell r="B33">
            <v>4.7</v>
          </cell>
          <cell r="C33">
            <v>17542</v>
          </cell>
          <cell r="D33">
            <v>16509</v>
          </cell>
        </row>
        <row r="34">
          <cell r="B34">
            <v>4.8</v>
          </cell>
          <cell r="C34">
            <v>17856</v>
          </cell>
          <cell r="D34">
            <v>16795</v>
          </cell>
        </row>
        <row r="35">
          <cell r="B35">
            <v>4.9000000000000004</v>
          </cell>
          <cell r="C35">
            <v>18240</v>
          </cell>
          <cell r="D35">
            <v>17081</v>
          </cell>
        </row>
        <row r="36">
          <cell r="B36">
            <v>5</v>
          </cell>
          <cell r="C36">
            <v>18484</v>
          </cell>
          <cell r="D36">
            <v>17368</v>
          </cell>
        </row>
        <row r="37">
          <cell r="B37">
            <v>5.0999999999999996</v>
          </cell>
          <cell r="C37">
            <v>18875</v>
          </cell>
          <cell r="D37">
            <v>17723</v>
          </cell>
        </row>
        <row r="38">
          <cell r="B38">
            <v>5.2</v>
          </cell>
          <cell r="C38">
            <v>19266</v>
          </cell>
          <cell r="D38">
            <v>18079</v>
          </cell>
        </row>
        <row r="39">
          <cell r="B39">
            <v>5.3</v>
          </cell>
          <cell r="C39">
            <v>19656</v>
          </cell>
          <cell r="D39">
            <v>18435</v>
          </cell>
        </row>
        <row r="40">
          <cell r="B40">
            <v>5.4</v>
          </cell>
          <cell r="C40">
            <v>20047</v>
          </cell>
          <cell r="D40">
            <v>18791</v>
          </cell>
        </row>
        <row r="41">
          <cell r="B41">
            <v>5.5</v>
          </cell>
          <cell r="C41">
            <v>20438</v>
          </cell>
          <cell r="D41">
            <v>19147</v>
          </cell>
        </row>
        <row r="42">
          <cell r="B42">
            <v>5.6</v>
          </cell>
          <cell r="C42">
            <v>20829</v>
          </cell>
          <cell r="D42">
            <v>19503</v>
          </cell>
        </row>
        <row r="43">
          <cell r="B43">
            <v>5.7</v>
          </cell>
          <cell r="C43">
            <v>21220</v>
          </cell>
          <cell r="D43">
            <v>19859</v>
          </cell>
        </row>
        <row r="44">
          <cell r="B44">
            <v>5.8</v>
          </cell>
          <cell r="C44">
            <v>21610</v>
          </cell>
          <cell r="D44">
            <v>20215</v>
          </cell>
        </row>
        <row r="45">
          <cell r="B45">
            <v>5.9</v>
          </cell>
          <cell r="C45">
            <v>22001</v>
          </cell>
          <cell r="D45">
            <v>20571</v>
          </cell>
        </row>
        <row r="46">
          <cell r="B46">
            <v>6</v>
          </cell>
          <cell r="C46">
            <v>22392</v>
          </cell>
          <cell r="D46">
            <v>20927</v>
          </cell>
        </row>
        <row r="47">
          <cell r="B47">
            <v>6.1</v>
          </cell>
          <cell r="C47">
            <v>22867</v>
          </cell>
          <cell r="D47">
            <v>21352</v>
          </cell>
        </row>
        <row r="48">
          <cell r="B48">
            <v>6.2</v>
          </cell>
          <cell r="C48">
            <v>23341</v>
          </cell>
          <cell r="D48">
            <v>21778</v>
          </cell>
        </row>
        <row r="49">
          <cell r="B49">
            <v>6.3</v>
          </cell>
          <cell r="C49">
            <v>23816</v>
          </cell>
          <cell r="D49">
            <v>22204</v>
          </cell>
        </row>
        <row r="50">
          <cell r="B50">
            <v>6.4</v>
          </cell>
          <cell r="C50">
            <v>24290</v>
          </cell>
          <cell r="D50">
            <v>22629</v>
          </cell>
        </row>
        <row r="51">
          <cell r="B51">
            <v>6.5</v>
          </cell>
          <cell r="C51">
            <v>24765</v>
          </cell>
          <cell r="D51">
            <v>23055</v>
          </cell>
        </row>
        <row r="52">
          <cell r="B52">
            <v>6.6</v>
          </cell>
          <cell r="C52">
            <v>25239</v>
          </cell>
          <cell r="D52">
            <v>23481</v>
          </cell>
        </row>
        <row r="53">
          <cell r="B53">
            <v>6.7</v>
          </cell>
          <cell r="C53">
            <v>25714</v>
          </cell>
          <cell r="D53">
            <v>23906</v>
          </cell>
        </row>
        <row r="54">
          <cell r="B54">
            <v>6.8</v>
          </cell>
          <cell r="C54">
            <v>26188</v>
          </cell>
          <cell r="D54">
            <v>24332</v>
          </cell>
        </row>
        <row r="55">
          <cell r="B55">
            <v>6.9</v>
          </cell>
          <cell r="C55">
            <v>26663</v>
          </cell>
          <cell r="D55">
            <v>24758</v>
          </cell>
        </row>
        <row r="56">
          <cell r="B56">
            <v>7</v>
          </cell>
          <cell r="C56">
            <v>27137</v>
          </cell>
          <cell r="D56">
            <v>25183</v>
          </cell>
        </row>
      </sheetData>
      <sheetData sheetId="7"/>
      <sheetData sheetId="8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dg"/>
    </sheetNames>
    <sheetDataSet>
      <sheetData sheetId="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atgt"/>
      <sheetName val="cong"/>
      <sheetName val="vua"/>
      <sheetName val="gVL"/>
      <sheetName val="dtoan"/>
      <sheetName val="dtct"/>
      <sheetName val="t-dtoan"/>
      <sheetName val="cpkhac"/>
      <sheetName val="gpmb"/>
      <sheetName val="Sheet1"/>
      <sheetName val="XL4Poppy"/>
      <sheetName val="Vatu"/>
      <sheetName val="khluongconlai"/>
      <sheetName val="Bao cao"/>
      <sheetName val="00000000"/>
      <sheetName val="TG TSCD - OK"/>
      <sheetName val="TM"/>
      <sheetName val="KQKD-OK"/>
      <sheetName val="LC tien te"/>
      <sheetName val="GTGT"/>
      <sheetName val="DT-CP"/>
      <sheetName val="QT TNDN"/>
      <sheetName val="Trang bia"/>
      <sheetName val="Sheet3"/>
      <sheetName val="Sheet2"/>
      <sheetName val="CD tai khoan"/>
      <sheetName val="CDKT - OK"/>
      <sheetName val="Chi tieu ngoai bang - OK"/>
      <sheetName val="THTHNVnn-OK"/>
      <sheetName val="GTGT duoc KT, hoan lai, mien0k "/>
      <sheetName val="Bang ke chi phi"/>
      <sheetName val="Phai thu - OK"/>
      <sheetName val="Phai tra - OK"/>
      <sheetName val="Tam ung"/>
      <sheetName val="XNT - OK"/>
      <sheetName val="Thu noi bo"/>
      <sheetName val="Phai tra noi bo"/>
      <sheetName val="Tinh hinh thu nhap CBCNV - OK"/>
      <sheetName val="10000000"/>
      <sheetName val="THop01"/>
      <sheetName val="THop02"/>
      <sheetName val="Ctiet01"/>
      <sheetName val="Ctiet02"/>
      <sheetName val="Bke01"/>
      <sheetName val="Bke02"/>
      <sheetName val="Ctiet03"/>
      <sheetName val="THop03"/>
      <sheetName val="Bke03"/>
      <sheetName val="BCTHQI"/>
      <sheetName val="C tietTH6T"/>
      <sheetName val="BCTH6T"/>
      <sheetName val="BCTHQII"/>
      <sheetName val="CtietQI"/>
      <sheetName val="CtietQII"/>
      <sheetName val="Bke04"/>
      <sheetName val="THop04"/>
      <sheetName val="Ctiet04"/>
      <sheetName val="C tiet 05"/>
      <sheetName val="THop05"/>
      <sheetName val="Bke05"/>
      <sheetName val="Bke06"/>
      <sheetName val="THop06"/>
      <sheetName val="Ctiet06"/>
      <sheetName val="Bke07"/>
      <sheetName val="THop07"/>
      <sheetName val="Ctiet07"/>
      <sheetName val="Den 31,7"/>
      <sheetName val="Bke08"/>
      <sheetName val="THop08"/>
      <sheetName val="Ctiet08"/>
      <sheetName val="BCQIII"/>
      <sheetName val="CtietQIII"/>
      <sheetName val="BC9Tnam"/>
      <sheetName val="THop09"/>
      <sheetName val="Ctiet09"/>
      <sheetName val="Bke09"/>
      <sheetName val="THop10"/>
      <sheetName val="Bke 10"/>
      <sheetName val="Ctiet10"/>
      <sheetName val="UOc T10"/>
      <sheetName val="Ctiet11"/>
      <sheetName val="THop11"/>
      <sheetName val="Bke 11"/>
      <sheetName val="Uoc 2005"/>
      <sheetName val="THop12"/>
      <sheetName val="Ctiet12"/>
      <sheetName val="Bke 12"/>
      <sheetName val="XXXXXXXX"/>
      <sheetName val="XXXXXXX0"/>
      <sheetName val="XL4Test5"/>
      <sheetName val="Bang khoi luong"/>
      <sheetName val="Bang phan tich"/>
      <sheetName val="TH vat tu"/>
      <sheetName val="TH kinh phi"/>
      <sheetName val="TH May TC"/>
      <sheetName val="TH nhan cong"/>
      <sheetName val="Thong ke thiet bi"/>
      <sheetName val="Dinh muc CP KTCB khac"/>
      <sheetName val="dtkt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DTCT-tuyen chinh"/>
      <sheetName val="tkhai"/>
      <sheetName val="muavao"/>
      <sheetName val="banra"/>
      <sheetName val="BCSDHDNam"/>
      <sheetName val="SDHDThang"/>
      <sheetName val="THmp03"/>
      <sheetName val="m doc"/>
      <sheetName val="QUY TIEN MAT"/>
      <sheetName val="Tongcongchixdnha"/>
      <sheetName val="QUY XAY DUNG NHA HANG"/>
      <sheetName val="Sÿÿÿÿÿÿ"/>
      <sheetName val="Bke(10"/>
      <sheetName val="00000080"/>
      <sheetName val="truc tiep"/>
      <sheetName val="Vat tu"/>
      <sheetName val="giathan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4">
          <cell r="Q64">
            <v>5000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</sheetNames>
    <sheetDataSet>
      <sheetData sheetId="0"/>
      <sheetData sheetId="1" refreshError="1">
        <row r="6">
          <cell r="C6">
            <v>1.5644349070100143</v>
          </cell>
        </row>
        <row r="19">
          <cell r="C19">
            <v>8761.9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XL4Test5"/>
      <sheetName val="LUONG CHO HUU"/>
      <sheetName val="thu BHXH,YT"/>
      <sheetName val="Phan bo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10000000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SILICAT_x0003_"/>
      <sheetName val="C45"/>
      <sheetName val="C47A"/>
      <sheetName val="C47B"/>
      <sheetName val="C46"/>
      <sheetName val="DsachYT"/>
      <sheetName val="00"/>
      <sheetName val="Bhxhoi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T6"/>
      <sheetName val="Mau"/>
      <sheetName val="KH LDTL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TAI"/>
      <sheetName val="BANLE"/>
      <sheetName val="t.kho"/>
      <sheetName val="CLB"/>
      <sheetName val="phong"/>
      <sheetName val="hoat"/>
      <sheetName val="tong BH"/>
      <sheetName val="nhapkho"/>
      <sheetName val="1-12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P-KH"/>
      <sheetName val="Xuatkho"/>
      <sheetName val="PT"/>
      <sheetName val="Pivot(Silica|e)"/>
      <sheetName val="TH QT"/>
      <sheetName val="KE QT"/>
      <sheetName val="DG"/>
      <sheetName val="_x0000__x0000__x0000__x0000__x0000__x0000_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Summary"/>
      <sheetName val="Design &amp; Applications"/>
      <sheetName val="Building Summary"/>
      <sheetName val="Building"/>
      <sheetName val="External Works"/>
      <sheetName val="Pi6ot(Urethan)"/>
      <sheetName val="Chiet tinh dz22"/>
      <sheetName val="MTL$-INTER"/>
      <sheetName val="???????-BLDG"/>
      <sheetName val="INSUL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ROCK WO_x0003__x0000_"/>
      <sheetName val="??-BLDG"/>
      <sheetName val="TH VL, NC, DDHT Thanhphuoc"/>
      <sheetName val="Macro1"/>
      <sheetName val="Macro2"/>
      <sheetName val="Macro3"/>
      <sheetName val="S¶_x001d_et2"/>
      <sheetName val="TH T19"/>
      <sheetName val="gvl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Dieu chinh"/>
      <sheetName val="So -03"/>
      <sheetName val="SoLD"/>
      <sheetName val="So-02"/>
      <sheetName val="Pivot(RckWool)"/>
      <sheetName val="Q2-00"/>
      <sheetName val="Sheed4"/>
      <sheetName val="Giai trinh"/>
      <sheetName val="Du_lieu"/>
      <sheetName val="hoat_x0000_࣭_x0000__x0000__x0000__x0000__x0000__x0000__x0000__x0000__x0009__x0000_᭬࣫_x0000__x0004__x0000__x0000__x0000__x0000__x0000__x0000_ᑜ࣭_x0000__x0000__x0000_"/>
      <sheetName val="TH_x0001_NG2"/>
      <sheetName val="NEW-PANEL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뜃맟뭁돽띿맟?-BLDG"/>
      <sheetName val="CAT_5"/>
      <sheetName val="현장관리비"/>
      <sheetName val="실행내역"/>
      <sheetName val="#REF"/>
      <sheetName val="적용환율"/>
      <sheetName val="合成単価作成表-BLDG"/>
      <sheetName val="Sheev6"/>
      <sheetName val="Nhap fon gia VL dia phuong"/>
      <sheetName val="báo cáo thang11 m?i"/>
      <sheetName val="ctTBA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CT Thang Mo"/>
      <sheetName val="CT  PL"/>
      <sheetName val="Chi tiet"/>
      <sheetName val="Pivot(_x0007_lass Wool)"/>
      <sheetName val="bcôhang"/>
      <sheetName val="RDP013"/>
      <sheetName val="\uong mot ngay cong xay lap"/>
      <sheetName val="Luong mot ngay conw0khao sat"/>
      <sheetName val="thu BHXH&lt;YT"/>
      <sheetName val="TA²_x0000__x0000_NH"/>
      <sheetName val="EQUIPMENT -2"/>
      <sheetName val="전차선로 물량표"/>
      <sheetName val="PBS"/>
      <sheetName val="간접비내역-1"/>
      <sheetName val="Basic"/>
      <sheetName val="DESIGN CRITERIA"/>
      <sheetName val="용기"/>
      <sheetName val="Luong moÿÿngay cong khao sat"/>
      <sheetName val="_x0010_ivot(Glass Wool)"/>
      <sheetName val="She%t1"/>
      <sheetName val="XL4Pop`y"/>
      <sheetName val="Chitieu-dam c!c loai"/>
      <sheetName val="@Gdg"/>
      <sheetName val="CocKJ1m"/>
      <sheetName val="TK"/>
      <sheetName val="BRCT"/>
      <sheetName val="SDHD"/>
      <sheetName val="SDHD QUY"/>
      <sheetName val="GTGT135"/>
      <sheetName val="BRCN135"/>
      <sheetName val="MV135"/>
      <sheetName val="SDHDCN"/>
      <sheetName val="SDHDCN quy"/>
      <sheetName val="NXT.CN03"/>
      <sheetName val="bl"/>
      <sheetName val="20000000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MTO REV.0"/>
      <sheetName val="Phan tich don ႀ￸a chi tiet"/>
      <sheetName val="TT_10KV"/>
      <sheetName val="공통가설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DONGIA"/>
      <sheetName val="DON GIA"/>
      <sheetName val="TONGKE-HT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SILICCTE"/>
      <sheetName val="??????"/>
      <sheetName val="ROCK WO_x0003_?"/>
      <sheetName val="Tong hop QL4( - 3"/>
      <sheetName val="SN C£GNV"/>
      <sheetName val="PNT-QUOT-#3"/>
      <sheetName val="COAT&amp;WRAP-QIOT-#3"/>
      <sheetName val="Pivnt(RockWool)"/>
      <sheetName val="@ivot(Form Glass)"/>
      <sheetName val="Pivot(Gl!ss Wool)"/>
      <sheetName val="ROCK WOKL"/>
      <sheetName val="He co"/>
      <sheetName val="Bhitieu-dam cac loai"/>
      <sheetName val="_x0000__x0000__x0000__x0000__x0000__x0009__x0000_??_x0000__x0004__x0000__x0000__x0000__x0000__x0000__x0000_??_x0000__x0000__x0000__x0000__x0000__x0000__x0000__x0000_??_x0000__x0000_"/>
      <sheetName val="_x0000__x0000_CAI TK 112"/>
      <sheetName val="tong l²_x0000__x0000_ ban"/>
      <sheetName val="100000P0"/>
      <sheetName val="RFP0_x0010_6"/>
      <sheetName val="RFP_x0010_07"/>
      <sheetName val="RFP_x0011_1(2)"/>
      <sheetName val="Q_x0012_-02"/>
      <sheetName val="Q_x0013_-02"/>
      <sheetName val="Du toan chi Tiet coc_x0000_nuoc"/>
      <sheetName val="Nhap_x0000_don gia VL dia phuong"/>
      <sheetName val="Luong mot ngay Cong xay_x0000_lap"/>
      <sheetName val="DU TRU LUONG_x0000_06 THANG"/>
      <sheetName val="PP tinh Thue thu_x0000_nhap"/>
      <sheetName val="Luong TG thang _x0010_9"/>
      <sheetName val="QT LUONG NS_x0000_T 07"/>
      <sheetName val="TAM_x0000_UNG LUONG NS TH 10"/>
      <sheetName val="_x0000_TCTiet"/>
      <sheetName val="BCDTK"/>
      <sheetName val="soktmay"/>
      <sheetName val="hoat?࣭????????_x0009_?᭬࣫?_x0004_??????ᑜ࣭???"/>
      <sheetName val="hoat_x0000_࣭_x0000__x0009_᭬࣫_x0000__x0004__x0000_ᑜ࣭_x0000_ڬ࣫_x0000_"/>
      <sheetName val="TH4_x0000__x0000__x0000__x0000__x0000__x0000__x0000__x0000__x0000__x0000__x0000_ℨʢ_x0000__x0004__x0000__x0000__x0000__x0000__x0000__x0000_崬ʢ_x0000__x0000__x0000__x0000__x0000_"/>
      <sheetName val="_x0010_iwot(Silicate)"/>
      <sheetName val="ፌ_x0000_佄⁎䥇⁁䡃"/>
      <sheetName val="⁁䡃⁉䥔呅"/>
      <sheetName val="呅吠ь_x0000_䑄㔳_x0005_吀䅂㔳_x000c_吀⁈畱敹"/>
      <sheetName val="㔳_x000c_吀⁈畱敹瑴慯ծ_x0000_楢兡͔_x0000_䭔"/>
      <sheetName val="_x0000_楢兡͔_x0000_䭔ͥ_x0000_䅎э_x0000_啈䝎_x0003_䠀䥁_x0003_"/>
      <sheetName val="_x0000_啈䝎_x0003_䠀䥁_x0003_䰀䵁_x0008_䈀湡⁧楧"/>
      <sheetName val="ࡍ_x0000_慂杮朠慩_x000d_䠀乁⁇䥔久䈠佁_x000b_吀⁈"/>
      <sheetName val="䥔久䈠佁_x000b_吀⁈䡎偁"/>
      <sheetName val="⁈䡎偁吠乏_x0006_吀⁈"/>
      <sheetName val="_x0000_䡔䈠乁_x0005_䐀"/>
      <sheetName val="_x0000_敄㍣б_x0000_慊"/>
      <sheetName val="䨀湡в_x0000_慊㍮"/>
      <sheetName val="湡г_x0000_慊㑮_x0004_"/>
      <sheetName val="д_x0000_慊㙮_x0004_䨀"/>
      <sheetName val="_x0000_慊㝮_x0004_䨀湡"/>
      <sheetName val="慊㡮_x0004_䨀湡Թ"/>
      <sheetName val="㥮_x0005_䨀湡〱_x0005_䨀"/>
      <sheetName val="_x0005_䨀湡ㄱ_x0005_䨀"/>
      <sheetName val="_x0000_慊ㅮԳ_x0000_慊"/>
      <sheetName val="䨀湡㐱_x0005_䨀湡"/>
      <sheetName val="慊ㅮԵ_x0000_慊ㅮ"/>
      <sheetName val="ㅮԷ_x0000_慊ㅮԸ"/>
      <sheetName val="㠱_x0005_䨀湡〲_x0005_"/>
      <sheetName val="԰_x0000_慊㉮Ա_x0000_"/>
      <sheetName val="_x0005_䨀湡㈲_x0005_䨀"/>
      <sheetName val="_x0000_慊㉮Գ_x0000_慊㉮Դ"/>
      <sheetName val="湡㐲_x0005_䨀湡㔲_x0005_"/>
      <sheetName val="㔲_x0005_䨀"/>
      <sheetName val="적용률"/>
      <sheetName val="LABTOTAL"/>
      <sheetName val="PTDGDT"/>
      <sheetName val="T.Tinh"/>
      <sheetName val="Gia vat tu"/>
      <sheetName val="hoat?࣭?_x0009_᭬࣫?_x0004_?ᑜ࣭?ڬ࣫?"/>
      <sheetName val="Luo_x0009__x0008__x0010__x0000__x0000__x0006__x0005__x0000__x001c_ Í_x0007_ÉÀ_x0000__x0000__x0006__x0003__x0000__x0000_á_x0000__x0002__x0000_°"/>
      <sheetName val="truy_x0000_thu"/>
      <sheetName val="_______-BLDG"/>
      <sheetName val="__-BLDG"/>
      <sheetName val="뜃맟뭁돽띿맟_-BLDG"/>
      <sheetName val="báo cáo thang11 m_i"/>
      <sheetName val="MTO REV.2(ARMOR)"/>
      <sheetName val="THVT"/>
      <sheetName val="PTDM"/>
      <sheetName val=" thoat nuog nc"/>
      <sheetName val="VV-NTKL NHA _x000b_HO DOT 2"/>
      <sheetName val="THA_x000e_G 8"/>
      <sheetName val="AN CA _x0014_HANG 08"/>
      <sheetName val="Xuatkh/"/>
      <sheetName val="______"/>
      <sheetName val="ROCK WO_x0003__"/>
      <sheetName val="hoat_࣭_________x0009__᭬࣫__x0004_______ᑜ࣭___"/>
      <sheetName val="湡㘱_x0005_䨀湡㜱"/>
      <sheetName val=" thoau nuoc nc"/>
      <sheetName val="POWER"/>
      <sheetName val="견적조건"/>
      <sheetName val="BQ_Equip_Pipe"/>
      <sheetName val="BLR-S"/>
      <sheetName val="Est-Hotpp"/>
      <sheetName val="PipWT"/>
      <sheetName val="piping"/>
      <sheetName val="BREAKDOWN(철거설치)"/>
      <sheetName val="COA-17"/>
      <sheetName val="C-18"/>
      <sheetName val="POTAL"/>
      <sheetName val="TSCD"/>
      <sheetName val="_x0000__x0000_DT"/>
      <sheetName val="?????_x0009_????_x0004_????????????????????"/>
      <sheetName val="hoat_x0000_?_x0000__x0009_??_x0000__x0004__x0000_??_x0000_??_x0000_"/>
      <sheetName val="hoat??????????_x0009_????_x0004_???????????"/>
      <sheetName val="Coc$0x40cm"/>
      <sheetName val="&quot;0ngay"/>
      <sheetName val="báo cák thang11 mới"/>
      <sheetName val="THANG'"/>
      <sheetName val="CN"/>
      <sheetName val="BCN"/>
      <sheetName val="Q TOAN"/>
      <sheetName val="NO MUA"/>
      <sheetName val="VO CHAI"/>
      <sheetName val="VC THU HOI"/>
      <sheetName val="To*K hop"/>
      <sheetName val="ፌ?佄⁎䥇⁁䡃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_x000d_䠀乁⁇䥔久䈠佁_x000b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?慊ㅮԳ?慊"/>
      <sheetName val="慊ㅮԵ?慊ㅮ"/>
      <sheetName val="ㅮԷ?慊ㅮԸ"/>
      <sheetName val="԰?慊㉮Ա?"/>
      <sheetName val="?慊㉮Գ?慊㉮Դ"/>
      <sheetName val="hoat???_x0009_???_x0004_???????"/>
      <sheetName val="tong l²?? ban"/>
      <sheetName val="????"/>
      <sheetName val="báo cák thang11 m?i"/>
      <sheetName val="???????"/>
      <sheetName val="?????"/>
      <sheetName val="??????_x0005_???_x000c_????"/>
      <sheetName val="?_x000c_?????????????"/>
      <sheetName val="?????????????_x0003_??_x0003_"/>
      <sheetName val="???_x0003_??_x0003_??_x0008_????"/>
      <sheetName val="??????_x000d_???????_x000b_??"/>
      <sheetName val="????_x000b_????"/>
      <sheetName val="?????_x0006_??"/>
      <sheetName val="????_x0005_?"/>
      <sheetName val="?????_x0004_"/>
      <sheetName val="????_x0004_?"/>
      <sheetName val="???_x0004_??"/>
      <sheetName val="??_x0004_???"/>
      <sheetName val=""/>
      <sheetName val="ROCK WO_x0003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 refreshError="1"/>
      <sheetData sheetId="362" refreshError="1"/>
      <sheetData sheetId="363" refreshError="1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 refreshError="1"/>
      <sheetData sheetId="375" refreshError="1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/>
      <sheetData sheetId="533" refreshError="1"/>
      <sheetData sheetId="534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ç khoan LK1"/>
      <sheetName val="dimention"/>
      <sheetName val="subload"/>
      <sheetName val="Gia"/>
      <sheetName val="Sheet2"/>
      <sheetName val="gVL"/>
      <sheetName val="L? khoan LK1"/>
      <sheetName val="CUOC"/>
    </sheetNames>
    <sheetDataSet>
      <sheetData sheetId="0" refreshError="1">
        <row r="8">
          <cell r="K8">
            <v>1</v>
          </cell>
        </row>
        <row r="14">
          <cell r="E14">
            <v>2</v>
          </cell>
        </row>
        <row r="16">
          <cell r="E16">
            <v>0</v>
          </cell>
        </row>
        <row r="17">
          <cell r="E17">
            <v>0</v>
          </cell>
        </row>
        <row r="215">
          <cell r="D215">
            <v>3.1692017254946676</v>
          </cell>
        </row>
        <row r="227">
          <cell r="G227">
            <v>3.1692017254946676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dg"/>
    </sheetNames>
    <sheetDataSet>
      <sheetData sheetId="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tu van DZ 110 kV"/>
      <sheetName val="DM tu van DZ 35 kV"/>
      <sheetName val="DM tu van"/>
      <sheetName val="Don gia"/>
      <sheetName val="táng hîp"/>
      <sheetName val="THDT DZ 110 kV"/>
      <sheetName val="VL-NC-M 110 KV"/>
      <sheetName val="Phu kien 110 kV"/>
      <sheetName val="NC Day su Phu kien"/>
      <sheetName val="THDT DZ 35 kV"/>
      <sheetName val="VL-NC-M 35 KV"/>
      <sheetName val="Sheet1"/>
      <sheetName val="Phu kien 35 kV"/>
      <sheetName val="Tiep dia"/>
      <sheetName val="M4T-1"/>
      <sheetName val="Tien luong M4T-1"/>
      <sheetName val="M4T-2"/>
      <sheetName val="Tien luong M4T-2"/>
      <sheetName val="M4T-3"/>
      <sheetName val="Tien luong M4T-3"/>
      <sheetName val="MB-1"/>
      <sheetName val="Tien luong MB-1"/>
      <sheetName val="MB-2"/>
      <sheetName val="Tien luong MB-2"/>
      <sheetName val="MB-3"/>
      <sheetName val="Tien luong MB-3"/>
      <sheetName val="MB-4"/>
      <sheetName val="Tien luong MB-4"/>
      <sheetName val="MB-5"/>
      <sheetName val="Tien luong MB-5"/>
      <sheetName val="MB-6"/>
      <sheetName val="MBK"/>
      <sheetName val="Tien luong MBK"/>
      <sheetName val="Gia thanh chuoi su"/>
      <sheetName val="Tien luong MB-6"/>
      <sheetName val="MP-12"/>
      <sheetName val="Tien luong MP-12"/>
      <sheetName val="MN18-6"/>
      <sheetName val="Truoc thue)"/>
      <sheetName val="Khaosat"/>
      <sheetName val="Tong hop 1"/>
      <sheetName val="Xay lap"/>
      <sheetName val="Sheet2"/>
      <sheetName val="Chi tiet1"/>
      <sheetName val="Chi tiet"/>
      <sheetName val="Bu VL"/>
      <sheetName val="Dan"/>
      <sheetName val="Sheet3"/>
      <sheetName val="00000000"/>
      <sheetName val="XL4Test5"/>
      <sheetName val="gvl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u bao LL xe"/>
      <sheetName val="K.Tra do vong dan hoi"/>
      <sheetName val="Tinh truot"/>
      <sheetName val="Tinh Keo uon"/>
      <sheetName val="Cac bang tra"/>
      <sheetName val="About"/>
    </sheetNames>
    <sheetDataSet>
      <sheetData sheetId="0"/>
      <sheetData sheetId="1"/>
      <sheetData sheetId="2"/>
      <sheetData sheetId="3" refreshError="1">
        <row r="3">
          <cell r="A3" t="str">
            <v>03.1112</v>
          </cell>
          <cell r="B3" t="str">
            <v>Ñaøo ñaát hoá theá saâu &gt;1m S ñaùy hoá £ 5 m 2  ñaát C2</v>
          </cell>
          <cell r="C3" t="str">
            <v>m 3</v>
          </cell>
          <cell r="E3">
            <v>16776</v>
          </cell>
          <cell r="G3" t="str">
            <v>03.1112</v>
          </cell>
        </row>
        <row r="4">
          <cell r="A4" t="str">
            <v>03.1113</v>
          </cell>
          <cell r="B4" t="str">
            <v>Ñaøo ñaát hoá theá saâu &gt;1m S ñaùy hoá £ 5 m 2  ñaát C3</v>
          </cell>
          <cell r="C4" t="str">
            <v>m 3</v>
          </cell>
          <cell r="D4" t="str">
            <v>Xi m¨ng TW   KV NghÜa Lé</v>
          </cell>
          <cell r="E4">
            <v>24428</v>
          </cell>
          <cell r="F4" t="str">
            <v xml:space="preserve">§¸ d¨m  1x2            </v>
          </cell>
          <cell r="G4" t="str">
            <v>03.1113</v>
          </cell>
        </row>
        <row r="5">
          <cell r="A5" t="str">
            <v>03.2203</v>
          </cell>
          <cell r="B5" t="str">
            <v>Laáp ñaát hoá theá</v>
          </cell>
          <cell r="C5" t="str">
            <v>m 3</v>
          </cell>
          <cell r="E5">
            <v>10890</v>
          </cell>
          <cell r="G5" t="str">
            <v>03.2203</v>
          </cell>
        </row>
        <row r="6">
          <cell r="A6" t="str">
            <v>03.1122</v>
          </cell>
          <cell r="B6" t="str">
            <v>Ñaøo moùng baèng TC ñaát C2  saâu £ 2 m dieän tích ñaùy moùng £ 15 m2</v>
          </cell>
          <cell r="C6" t="str">
            <v>m 3</v>
          </cell>
          <cell r="D6">
            <v>89429.123809523822</v>
          </cell>
          <cell r="E6">
            <v>11037</v>
          </cell>
          <cell r="F6">
            <v>0</v>
          </cell>
          <cell r="G6" t="str">
            <v>03.1122</v>
          </cell>
        </row>
        <row r="7">
          <cell r="A7" t="str">
            <v>03.1123</v>
          </cell>
          <cell r="B7" t="str">
            <v>Ñaøo moùng baèng TC ñaát C3  saâu £ 2 m dieän tích ñaùy moùng £ 15 m2</v>
          </cell>
          <cell r="C7" t="str">
            <v>m 3</v>
          </cell>
          <cell r="D7">
            <v>38</v>
          </cell>
          <cell r="E7">
            <v>16482</v>
          </cell>
          <cell r="G7" t="str">
            <v>03.1123</v>
          </cell>
        </row>
        <row r="8">
          <cell r="A8" t="str">
            <v>03.1132</v>
          </cell>
          <cell r="B8" t="str">
            <v>Ñaøo moùng baèng TC ñaát C2  saâu £ 3 m dieän tích ñaùy moùng £ 15 m2</v>
          </cell>
          <cell r="C8" t="str">
            <v>m 3</v>
          </cell>
          <cell r="D8">
            <v>1670.4761904761904</v>
          </cell>
          <cell r="E8">
            <v>11773</v>
          </cell>
          <cell r="G8" t="str">
            <v>03.1132</v>
          </cell>
        </row>
        <row r="9">
          <cell r="A9" t="str">
            <v>03.1133</v>
          </cell>
          <cell r="B9" t="str">
            <v>Ñaøo moùng baèng TC ñaát C3  saâu £ 3 m dieän tích ñaùy moùng £ 15 m2</v>
          </cell>
          <cell r="C9" t="str">
            <v>m 3</v>
          </cell>
          <cell r="D9">
            <v>1.3</v>
          </cell>
          <cell r="E9">
            <v>17659</v>
          </cell>
          <cell r="G9" t="str">
            <v>03.1133</v>
          </cell>
        </row>
        <row r="10">
          <cell r="A10" t="str">
            <v>03.1152</v>
          </cell>
          <cell r="B10" t="str">
            <v>Ñaøo moùng baèng TC ñaát C2  saâu £ 2 m dieän tích ñaùy moùng £ 25 m2</v>
          </cell>
          <cell r="C10" t="str">
            <v>m 3</v>
          </cell>
          <cell r="D10">
            <v>1</v>
          </cell>
          <cell r="E10">
            <v>11478</v>
          </cell>
          <cell r="G10" t="str">
            <v>03.1152</v>
          </cell>
        </row>
        <row r="11">
          <cell r="A11" t="str">
            <v>03.1153</v>
          </cell>
          <cell r="B11" t="str">
            <v>Ñaøo moùng baèng TC ñaát C3  saâu £ 2 m dieän tích ñaùy moùng £ 25 m2</v>
          </cell>
          <cell r="C11" t="str">
            <v>m 3</v>
          </cell>
          <cell r="D11">
            <v>0.2</v>
          </cell>
          <cell r="E11">
            <v>17365</v>
          </cell>
          <cell r="G11" t="str">
            <v>03.1153</v>
          </cell>
        </row>
        <row r="12">
          <cell r="A12" t="str">
            <v>03.1162</v>
          </cell>
          <cell r="B12" t="str">
            <v>Ñaøo moùng baèng TC ñaát C2  saâu £ 3 m dieän tích ñaùy moùng £ 25 m2</v>
          </cell>
          <cell r="C12" t="str">
            <v>m 3</v>
          </cell>
          <cell r="D12">
            <v>34538</v>
          </cell>
          <cell r="E12">
            <v>12508</v>
          </cell>
          <cell r="G12" t="str">
            <v>03.1162</v>
          </cell>
        </row>
        <row r="13">
          <cell r="A13" t="str">
            <v>03.1163</v>
          </cell>
          <cell r="B13" t="str">
            <v>Ñaøo moùng baèng TC ñaát C3  saâu £ 3 m dieän tích ñaùy moùng £ 25 m2</v>
          </cell>
          <cell r="C13" t="str">
            <v>m 3</v>
          </cell>
          <cell r="D13">
            <v>865522.27999999991</v>
          </cell>
          <cell r="E13">
            <v>18395</v>
          </cell>
          <cell r="F13">
            <v>0</v>
          </cell>
          <cell r="G13" t="str">
            <v>03.1163</v>
          </cell>
        </row>
        <row r="14">
          <cell r="A14" t="str">
            <v>03.1182</v>
          </cell>
          <cell r="B14" t="str">
            <v>Ñaøo moùng baèng TC ñaát C2  saâu £ 2 m dieän tích ñaùy moùng £ 35 m2</v>
          </cell>
          <cell r="C14" t="str">
            <v>m 3</v>
          </cell>
          <cell r="D14">
            <v>0.2</v>
          </cell>
          <cell r="E14">
            <v>12214</v>
          </cell>
          <cell r="G14" t="str">
            <v>03.1182</v>
          </cell>
        </row>
        <row r="15">
          <cell r="A15" t="str">
            <v>03.1183</v>
          </cell>
          <cell r="B15" t="str">
            <v>Ñaøo moùng baèng TC ñaát C3  saâu £ 2 m dieän tích ñaùy moùng £ 35 m2</v>
          </cell>
          <cell r="C15" t="str">
            <v>m 3</v>
          </cell>
          <cell r="D15">
            <v>5.5600000000000005</v>
          </cell>
          <cell r="E15">
            <v>18100</v>
          </cell>
          <cell r="G15" t="str">
            <v>03.1183</v>
          </cell>
        </row>
        <row r="16">
          <cell r="A16" t="str">
            <v>03.1192</v>
          </cell>
          <cell r="B16" t="str">
            <v>Ñaøo moùng baèng TC ñaát C2  saâu £ 3 m dieän tích ñaùy moùng £ 35 m2</v>
          </cell>
          <cell r="C16" t="str">
            <v>m 3</v>
          </cell>
          <cell r="E16">
            <v>13097</v>
          </cell>
          <cell r="G16" t="str">
            <v>03.1192</v>
          </cell>
        </row>
        <row r="17">
          <cell r="A17" t="str">
            <v>03.1193</v>
          </cell>
          <cell r="B17" t="str">
            <v>Ñaøo moùng baèng TC ñaát C3  saâu £ 3 m dieän tích ñaùy moùng £ 35 m2</v>
          </cell>
          <cell r="C17" t="str">
            <v>m 3</v>
          </cell>
          <cell r="E17">
            <v>19425</v>
          </cell>
          <cell r="G17" t="str">
            <v>03.1193</v>
          </cell>
        </row>
        <row r="18">
          <cell r="A18" t="str">
            <v>03.1212</v>
          </cell>
          <cell r="B18" t="str">
            <v>Ñaøo moùng baèng TC ñaát C2  saâu £ 2 m dieän tích ñaùy moùng £ 50 m2</v>
          </cell>
          <cell r="C18" t="str">
            <v>m 3</v>
          </cell>
          <cell r="D18">
            <v>5.5</v>
          </cell>
          <cell r="E18">
            <v>12803</v>
          </cell>
          <cell r="G18" t="str">
            <v>03.1212</v>
          </cell>
        </row>
        <row r="19">
          <cell r="A19" t="str">
            <v>03.1213</v>
          </cell>
          <cell r="B19" t="str">
            <v>Ñaøo moùng baèng TC ñaát C3  saâu £ 2 m dieän tích ñaùy moùng £ 50 m2</v>
          </cell>
          <cell r="C19" t="str">
            <v>m 3</v>
          </cell>
          <cell r="D19">
            <v>4.5199999999999996</v>
          </cell>
          <cell r="E19">
            <v>19130</v>
          </cell>
          <cell r="G19" t="str">
            <v>03.1213</v>
          </cell>
        </row>
        <row r="20">
          <cell r="A20" t="str">
            <v>03.1222</v>
          </cell>
          <cell r="B20" t="str">
            <v>Ñaøo moùng baèng TC ñaát C2  saâu £ 3 m dieän tích ñaùy moùng £ 50 m2</v>
          </cell>
          <cell r="C20" t="str">
            <v>m 3</v>
          </cell>
          <cell r="D20">
            <v>25.06</v>
          </cell>
          <cell r="E20">
            <v>13833</v>
          </cell>
          <cell r="G20" t="str">
            <v>03.1222</v>
          </cell>
        </row>
        <row r="21">
          <cell r="A21" t="str">
            <v>03.1223</v>
          </cell>
          <cell r="B21" t="str">
            <v>Ñaøo moùng baèng TC ñaát C3  saâu £ 3 m dieän tích ñaùy moùng £ 50 m2</v>
          </cell>
          <cell r="C21" t="str">
            <v>m 3</v>
          </cell>
          <cell r="D21">
            <v>34538</v>
          </cell>
          <cell r="E21">
            <v>20455</v>
          </cell>
          <cell r="F21">
            <v>34538</v>
          </cell>
          <cell r="G21" t="str">
            <v>03.1223</v>
          </cell>
        </row>
        <row r="22">
          <cell r="A22" t="str">
            <v>03.1252</v>
          </cell>
          <cell r="B22" t="str">
            <v>Ñaøo moùng baèng TC ñaát C2  saâu £ 2 m dieän tích ñaùy moùng £ 75 m2</v>
          </cell>
          <cell r="C22" t="str">
            <v>m 3</v>
          </cell>
          <cell r="D22">
            <v>954951.40380952368</v>
          </cell>
          <cell r="E22">
            <v>13097</v>
          </cell>
          <cell r="F22">
            <v>0</v>
          </cell>
          <cell r="G22" t="str">
            <v>03.1252</v>
          </cell>
        </row>
        <row r="23">
          <cell r="A23" t="str">
            <v>03.1253</v>
          </cell>
          <cell r="B23" t="str">
            <v>Ñaøo moùng baèng TC ñaát C3  saâu £ 2 m dieän tích ñaùy moùng £ 75 m2</v>
          </cell>
          <cell r="C23" t="str">
            <v>m 3</v>
          </cell>
          <cell r="D23">
            <v>796000</v>
          </cell>
          <cell r="E23">
            <v>19572</v>
          </cell>
          <cell r="F23">
            <v>110000</v>
          </cell>
          <cell r="G23" t="str">
            <v>03.1253</v>
          </cell>
        </row>
        <row r="24">
          <cell r="A24" t="str">
            <v>03.1262</v>
          </cell>
          <cell r="B24" t="str">
            <v>Ñaøo moùng baèng TC ñaát C2  saâu £ 3 m dieän tích ñaùy moùng £ 75 m2</v>
          </cell>
          <cell r="C24" t="str">
            <v>m 3</v>
          </cell>
          <cell r="D24">
            <v>1750951.4038095237</v>
          </cell>
          <cell r="E24">
            <v>14127</v>
          </cell>
          <cell r="F24">
            <v>110000</v>
          </cell>
          <cell r="G24" t="str">
            <v>03.1262</v>
          </cell>
        </row>
        <row r="25">
          <cell r="A25" t="str">
            <v>03.1263</v>
          </cell>
          <cell r="B25" t="str">
            <v>Ñaøo moùng baèng TC ñaát C3  saâu £ 3 m dieän tích ñaùy moùng £ 75 m2</v>
          </cell>
          <cell r="C25" t="str">
            <v>m 3</v>
          </cell>
          <cell r="D25">
            <v>639000</v>
          </cell>
          <cell r="E25">
            <v>21043</v>
          </cell>
          <cell r="F25">
            <v>73000</v>
          </cell>
          <cell r="G25" t="str">
            <v>03.1263</v>
          </cell>
        </row>
        <row r="26">
          <cell r="A26" t="str">
            <v>03.1292</v>
          </cell>
          <cell r="B26" t="str">
            <v>Ñaøo moùng baèng TC ñaát C2  saâu £ 2 m dieän tích ñaùy moùng £ 100 m2</v>
          </cell>
          <cell r="C26" t="str">
            <v>m 3</v>
          </cell>
          <cell r="D26">
            <v>1111951.4038095237</v>
          </cell>
          <cell r="E26">
            <v>13391</v>
          </cell>
          <cell r="F26">
            <v>37000</v>
          </cell>
          <cell r="G26" t="str">
            <v>03.1292</v>
          </cell>
        </row>
        <row r="27">
          <cell r="A27" t="str">
            <v>03.1293</v>
          </cell>
          <cell r="B27" t="str">
            <v>Ñaøo moùng baèng TC ñaát C3  saâu £ 2 m dieän tích ñaùy moùng £ 100 m2</v>
          </cell>
          <cell r="C27" t="str">
            <v>m 3</v>
          </cell>
          <cell r="E27">
            <v>20308</v>
          </cell>
          <cell r="G27" t="str">
            <v>03.1293</v>
          </cell>
        </row>
        <row r="28">
          <cell r="A28" t="str">
            <v>03.1302</v>
          </cell>
          <cell r="B28" t="str">
            <v>Ñaøo moùng baèng TC ñaát C2  saâu £ 3 m dieän tích ñaùy moùng £ 100 m2</v>
          </cell>
          <cell r="C28" t="str">
            <v>m 3</v>
          </cell>
          <cell r="E28">
            <v>14569</v>
          </cell>
          <cell r="G28" t="str">
            <v>03.1302</v>
          </cell>
        </row>
        <row r="29">
          <cell r="A29" t="str">
            <v>03.1303</v>
          </cell>
          <cell r="B29" t="str">
            <v>Ñaøo moùng baèng TC ñaát C3  saâu £ 3 m dieän tích ñaùy moùng £ 100 m2</v>
          </cell>
          <cell r="C29" t="str">
            <v>m 3</v>
          </cell>
          <cell r="D29" t="str">
            <v>Xi m¨ng TW   KV NghÜa Lé</v>
          </cell>
          <cell r="E29">
            <v>21632</v>
          </cell>
          <cell r="F29" t="str">
            <v xml:space="preserve">§¸ d¨m  1x2            </v>
          </cell>
          <cell r="G29" t="str">
            <v>03.1303</v>
          </cell>
        </row>
        <row r="30">
          <cell r="A30" t="str">
            <v>03.1332</v>
          </cell>
          <cell r="B30" t="str">
            <v>Ñaøo moùng baèng TC ñaát C2  saâu £ 2 m dieän tích ñaùy moùng £ 150 m2</v>
          </cell>
          <cell r="C30" t="str">
            <v>m 3</v>
          </cell>
          <cell r="E30">
            <v>14127</v>
          </cell>
          <cell r="G30" t="str">
            <v>03.1332</v>
          </cell>
        </row>
        <row r="31">
          <cell r="A31" t="str">
            <v>03.1333</v>
          </cell>
          <cell r="B31" t="str">
            <v>Ñaøo moùng baèng TC ñaát C3  saâu £ 2 m dieän tích ñaùy moùng £ 150 m2</v>
          </cell>
          <cell r="C31" t="str">
            <v>m 3</v>
          </cell>
          <cell r="D31">
            <v>89429.123809523822</v>
          </cell>
          <cell r="E31">
            <v>21191</v>
          </cell>
          <cell r="F31">
            <v>0</v>
          </cell>
          <cell r="G31" t="str">
            <v>03.1333</v>
          </cell>
        </row>
        <row r="32">
          <cell r="A32" t="str">
            <v>03.1342</v>
          </cell>
          <cell r="B32" t="str">
            <v>Ñaøo moùng baèng TC ñaát C2  saâu £ 3 m dieän tích ñaùy moùng £ 150 m2</v>
          </cell>
          <cell r="C32" t="str">
            <v>m 3</v>
          </cell>
          <cell r="D32">
            <v>38</v>
          </cell>
          <cell r="E32">
            <v>15451</v>
          </cell>
          <cell r="G32" t="str">
            <v>03.1342</v>
          </cell>
        </row>
        <row r="33">
          <cell r="A33" t="str">
            <v>03.1343</v>
          </cell>
          <cell r="B33" t="str">
            <v>Ñaøo moùng baèng TC ñaát C3  saâu £ 3 m dieän tích ñaùy moùng £ 150 m2</v>
          </cell>
          <cell r="C33" t="str">
            <v>m 3</v>
          </cell>
          <cell r="D33">
            <v>1670.4761904761904</v>
          </cell>
          <cell r="E33">
            <v>22809</v>
          </cell>
          <cell r="G33" t="str">
            <v>03.1343</v>
          </cell>
        </row>
        <row r="34">
          <cell r="A34" t="str">
            <v>03.1352</v>
          </cell>
          <cell r="B34" t="str">
            <v>Ñaøo moùng baèng TC ñaát C2  saâu £ 4 m dieän tích ñaùy moùng £ 150 m2</v>
          </cell>
          <cell r="C34" t="str">
            <v>m 3</v>
          </cell>
          <cell r="D34">
            <v>1.3</v>
          </cell>
          <cell r="E34">
            <v>16629</v>
          </cell>
          <cell r="G34" t="str">
            <v>03.1352</v>
          </cell>
        </row>
        <row r="35">
          <cell r="A35" t="str">
            <v>03.1353</v>
          </cell>
          <cell r="B35" t="str">
            <v>Ñaøo moùng baèng TC ñaát C3  saâu £ 4 m dieän tích ñaùy moùng £ 150 m2</v>
          </cell>
          <cell r="C35" t="str">
            <v>m 3</v>
          </cell>
          <cell r="D35">
            <v>1</v>
          </cell>
          <cell r="E35">
            <v>24134</v>
          </cell>
          <cell r="G35" t="str">
            <v>03.1353</v>
          </cell>
        </row>
        <row r="36">
          <cell r="A36" t="str">
            <v>03.1372</v>
          </cell>
          <cell r="B36" t="str">
            <v>Ñaøo moùng baèng TC ñaát C2  saâu £ 2 m dieän tích ñaùy moùng £ 200 m2</v>
          </cell>
          <cell r="C36" t="str">
            <v>m 3</v>
          </cell>
          <cell r="D36">
            <v>0.2</v>
          </cell>
          <cell r="E36">
            <v>14716</v>
          </cell>
          <cell r="G36" t="str">
            <v>03.1372</v>
          </cell>
        </row>
        <row r="37">
          <cell r="A37" t="str">
            <v>03.1373</v>
          </cell>
          <cell r="B37" t="str">
            <v>Ñaøo moùng baèng TC ñaát C3  saâu £ 2 m dieän tích ñaùy moùng £ 200 m2</v>
          </cell>
          <cell r="C37" t="str">
            <v>m 3</v>
          </cell>
          <cell r="D37">
            <v>34538</v>
          </cell>
          <cell r="E37">
            <v>22074</v>
          </cell>
          <cell r="G37" t="str">
            <v>03.1373</v>
          </cell>
        </row>
        <row r="38">
          <cell r="A38" t="str">
            <v>03.1382</v>
          </cell>
          <cell r="B38" t="str">
            <v>Ñaøo moùng baèng TC ñaát C2  saâu £ 3 m dieän tích ñaùy moùng £ 200 m2</v>
          </cell>
          <cell r="C38" t="str">
            <v>m 3</v>
          </cell>
          <cell r="D38">
            <v>740632.87199999997</v>
          </cell>
          <cell r="E38">
            <v>16334</v>
          </cell>
          <cell r="F38">
            <v>0</v>
          </cell>
          <cell r="G38" t="str">
            <v>03.1382</v>
          </cell>
        </row>
        <row r="39">
          <cell r="A39" t="str">
            <v>03.1383</v>
          </cell>
          <cell r="B39" t="str">
            <v>Ñaøo moùng baèng TC ñaát C3  saâu £ 3 m dieän tích ñaùy moùng £ 200 m2</v>
          </cell>
          <cell r="C39" t="str">
            <v>m 3</v>
          </cell>
          <cell r="D39">
            <v>0.2</v>
          </cell>
          <cell r="E39">
            <v>23987</v>
          </cell>
          <cell r="G39" t="str">
            <v>03.1383</v>
          </cell>
        </row>
        <row r="40">
          <cell r="A40" t="str">
            <v>03.1392</v>
          </cell>
          <cell r="B40" t="str">
            <v>Ñaøo moùng baèng TC ñaát C2  saâu £ 3 m dieän tích ñaùy moùng £ 200 m2</v>
          </cell>
          <cell r="C40" t="str">
            <v>m 3</v>
          </cell>
          <cell r="D40">
            <v>4.7</v>
          </cell>
          <cell r="E40">
            <v>17512</v>
          </cell>
          <cell r="G40" t="str">
            <v>03.1392</v>
          </cell>
        </row>
        <row r="41">
          <cell r="A41" t="str">
            <v>03.1393</v>
          </cell>
          <cell r="B41" t="str">
            <v>Ñaøo moùng baèng TC ñaát C3  saâu £ 3 m dieän tích ñaùy moùng £ 200 m2</v>
          </cell>
          <cell r="C41" t="str">
            <v>m 3</v>
          </cell>
          <cell r="E41">
            <v>25311</v>
          </cell>
          <cell r="G41" t="str">
            <v>03.1393</v>
          </cell>
        </row>
        <row r="42">
          <cell r="A42" t="str">
            <v>03.1422</v>
          </cell>
          <cell r="B42" t="str">
            <v>Ñaøo moùng baèng TC ñaát C2  saâu £ 2 m dieän tích ñaùy moùng &gt; 200 m2</v>
          </cell>
          <cell r="C42" t="str">
            <v>m 3</v>
          </cell>
          <cell r="E42">
            <v>16187</v>
          </cell>
          <cell r="G42" t="str">
            <v>03.1422</v>
          </cell>
        </row>
        <row r="43">
          <cell r="A43" t="str">
            <v>03.1423</v>
          </cell>
          <cell r="B43" t="str">
            <v>Ñaøo moùng baèng TC ñaát C3  saâu £ 2 m dieän tích ñaùy moùng &gt; 200 m2</v>
          </cell>
          <cell r="C43" t="str">
            <v>m 3</v>
          </cell>
          <cell r="D43">
            <v>4.7</v>
          </cell>
          <cell r="E43">
            <v>24281</v>
          </cell>
          <cell r="G43" t="str">
            <v>03.1423</v>
          </cell>
        </row>
        <row r="44">
          <cell r="A44" t="str">
            <v>03.1432</v>
          </cell>
          <cell r="B44" t="str">
            <v>Ñaøo moùng baèng TC ñaát C2  saâu £ 3 m dieän tích ñaùy moùng &gt; 200 m2</v>
          </cell>
          <cell r="C44" t="str">
            <v>m 3</v>
          </cell>
          <cell r="D44">
            <v>4.5199999999999996</v>
          </cell>
          <cell r="E44">
            <v>17217</v>
          </cell>
          <cell r="G44" t="str">
            <v>03.1432</v>
          </cell>
        </row>
        <row r="45">
          <cell r="A45" t="str">
            <v>03.1433</v>
          </cell>
          <cell r="B45" t="str">
            <v>Ñaøo moùng baèng TC ñaát C3  saâu £ 3 m dieän tích ñaùy moùng &gt; 200 m2</v>
          </cell>
          <cell r="C45" t="str">
            <v>m 3</v>
          </cell>
          <cell r="D45">
            <v>21.443999999999999</v>
          </cell>
          <cell r="E45">
            <v>25458</v>
          </cell>
          <cell r="G45" t="str">
            <v>03.1433</v>
          </cell>
        </row>
        <row r="46">
          <cell r="A46" t="str">
            <v>03.1442</v>
          </cell>
          <cell r="B46" t="str">
            <v>Ñaøo moùng baèng TC ñaát C2  saâu £ 3 m dieän tích ñaùy moùng &gt; 200 m2</v>
          </cell>
          <cell r="C46" t="str">
            <v>m 3</v>
          </cell>
          <cell r="D46">
            <v>34538</v>
          </cell>
          <cell r="E46">
            <v>18836</v>
          </cell>
          <cell r="G46" t="str">
            <v>03.1442</v>
          </cell>
        </row>
        <row r="47">
          <cell r="A47" t="str">
            <v>03.1443</v>
          </cell>
          <cell r="B47" t="str">
            <v>Ñaøo moùng baèng TC ñaát C3  saâu £ 3 m dieän tích ñaùy moùng &gt; 200 m2</v>
          </cell>
          <cell r="C47" t="str">
            <v>m 3</v>
          </cell>
          <cell r="D47">
            <v>830061.99580952385</v>
          </cell>
          <cell r="E47">
            <v>27960</v>
          </cell>
          <cell r="F47">
            <v>0</v>
          </cell>
          <cell r="G47" t="str">
            <v>03.1443</v>
          </cell>
        </row>
        <row r="48">
          <cell r="A48" t="str">
            <v>03.2202</v>
          </cell>
          <cell r="B48" t="str">
            <v>Laáp hoá moùng + chaân truï C2</v>
          </cell>
          <cell r="C48" t="str">
            <v>m 3</v>
          </cell>
          <cell r="D48">
            <v>796000</v>
          </cell>
          <cell r="E48">
            <v>9712</v>
          </cell>
          <cell r="F48">
            <v>110000</v>
          </cell>
          <cell r="G48" t="str">
            <v>03.2202</v>
          </cell>
        </row>
        <row r="49">
          <cell r="A49" t="str">
            <v>03.2203</v>
          </cell>
          <cell r="B49" t="str">
            <v>Laáp hoá moùng + chaân truï C3</v>
          </cell>
          <cell r="C49" t="str">
            <v>m 3</v>
          </cell>
          <cell r="D49">
            <v>1626061.9958095239</v>
          </cell>
          <cell r="E49">
            <v>10890</v>
          </cell>
          <cell r="F49">
            <v>110000</v>
          </cell>
          <cell r="G49" t="str">
            <v>03.2203</v>
          </cell>
        </row>
        <row r="50">
          <cell r="A50" t="str">
            <v>03.3102</v>
          </cell>
          <cell r="B50" t="str">
            <v>Ñaøo ñaát raõnh tieáp ñòa ñaát C2</v>
          </cell>
          <cell r="C50" t="str">
            <v>m 3</v>
          </cell>
          <cell r="D50">
            <v>639000</v>
          </cell>
          <cell r="E50">
            <v>14716</v>
          </cell>
          <cell r="F50">
            <v>73000</v>
          </cell>
          <cell r="G50" t="str">
            <v>03.3102</v>
          </cell>
        </row>
        <row r="51">
          <cell r="A51" t="str">
            <v>03.3103</v>
          </cell>
          <cell r="B51" t="str">
            <v>Ñaøo ñaát raõnh tieáp ñòa ñaát C3</v>
          </cell>
          <cell r="C51" t="str">
            <v>m 3</v>
          </cell>
          <cell r="D51">
            <v>987061.99580952385</v>
          </cell>
          <cell r="E51">
            <v>21926</v>
          </cell>
          <cell r="F51">
            <v>37000</v>
          </cell>
          <cell r="G51" t="str">
            <v>03.3103</v>
          </cell>
        </row>
        <row r="52">
          <cell r="A52" t="str">
            <v>03.3202</v>
          </cell>
          <cell r="B52" t="str">
            <v>Laáp ñaát raõnh tieáp ñòa ñaát C2</v>
          </cell>
          <cell r="C52" t="str">
            <v>m 3</v>
          </cell>
          <cell r="E52">
            <v>8682</v>
          </cell>
          <cell r="G52" t="str">
            <v>03.3202</v>
          </cell>
        </row>
        <row r="53">
          <cell r="A53" t="str">
            <v>03.3203</v>
          </cell>
          <cell r="B53" t="str">
            <v>Laáp ñaát raõnh tieáp ñòa ñaát C3</v>
          </cell>
          <cell r="C53" t="str">
            <v>m 3</v>
          </cell>
          <cell r="E53">
            <v>10007</v>
          </cell>
          <cell r="G53" t="str">
            <v>03.3203</v>
          </cell>
        </row>
        <row r="54">
          <cell r="A54" t="str">
            <v>03.4001</v>
          </cell>
          <cell r="B54" t="str">
            <v>Ñaép bôø bao ñoä saâu buøn nöôùc £ 30cm</v>
          </cell>
          <cell r="C54" t="str">
            <v>m</v>
          </cell>
          <cell r="E54">
            <v>5592</v>
          </cell>
          <cell r="G54" t="str">
            <v>03.4001</v>
          </cell>
        </row>
        <row r="55">
          <cell r="A55" t="str">
            <v>03.4002</v>
          </cell>
          <cell r="B55" t="str">
            <v>Ñaép bôø bao ñoä saâu buøn nöôùc £ 50cm</v>
          </cell>
          <cell r="C55" t="str">
            <v>m</v>
          </cell>
          <cell r="D55">
            <v>22400</v>
          </cell>
          <cell r="E55">
            <v>8241</v>
          </cell>
          <cell r="G55" t="str">
            <v>03.4002</v>
          </cell>
        </row>
        <row r="56">
          <cell r="A56" t="str">
            <v>03.4003</v>
          </cell>
          <cell r="B56" t="str">
            <v>Ñaép bôø bao ñoä saâu buøn nöôùc £ 80cm</v>
          </cell>
          <cell r="C56" t="str">
            <v>m</v>
          </cell>
          <cell r="D56">
            <v>35000</v>
          </cell>
          <cell r="E56">
            <v>12655</v>
          </cell>
          <cell r="G56" t="str">
            <v>03.4003</v>
          </cell>
        </row>
        <row r="57">
          <cell r="A57" t="str">
            <v>03.4004</v>
          </cell>
          <cell r="B57" t="str">
            <v>Ñaép bôø bao ñoä saâu buøn nöôùc £ 100cm</v>
          </cell>
          <cell r="C57" t="str">
            <v>m</v>
          </cell>
          <cell r="D57">
            <v>42000</v>
          </cell>
          <cell r="E57">
            <v>16187</v>
          </cell>
          <cell r="G57" t="str">
            <v>03.4004</v>
          </cell>
        </row>
        <row r="58">
          <cell r="A58" t="str">
            <v>03.5100</v>
          </cell>
          <cell r="B58" t="str">
            <v xml:space="preserve">Bôm taùt nöôùc baèng thuû coâng </v>
          </cell>
          <cell r="C58" t="str">
            <v>m 3</v>
          </cell>
          <cell r="G58" t="str">
            <v>03.5100</v>
          </cell>
        </row>
        <row r="59">
          <cell r="A59" t="str">
            <v>03.5200</v>
          </cell>
          <cell r="B59" t="str">
            <v>Bôm taùt nöôùc baèng maùy</v>
          </cell>
          <cell r="C59" t="str">
            <v>m 3</v>
          </cell>
          <cell r="G59" t="str">
            <v>03.5200</v>
          </cell>
        </row>
        <row r="60">
          <cell r="A60" t="str">
            <v>03.7001</v>
          </cell>
          <cell r="B60" t="str">
            <v>Ñaép caùt coâng trình</v>
          </cell>
          <cell r="C60" t="str">
            <v>m 3</v>
          </cell>
          <cell r="D60">
            <v>27750</v>
          </cell>
          <cell r="E60">
            <v>9124</v>
          </cell>
          <cell r="G60" t="str">
            <v>03.7001</v>
          </cell>
        </row>
        <row r="61">
          <cell r="A61" t="str">
            <v>04.1101</v>
          </cell>
          <cell r="B61" t="str">
            <v>SX laép döïng coát theùp £ F10</v>
          </cell>
          <cell r="C61" t="str">
            <v>kg</v>
          </cell>
          <cell r="D61">
            <v>4267.6769999999997</v>
          </cell>
          <cell r="E61">
            <v>201.59299999999999</v>
          </cell>
          <cell r="F61">
            <v>16.917999999999999</v>
          </cell>
          <cell r="G61" t="str">
            <v>04.1101</v>
          </cell>
        </row>
        <row r="62">
          <cell r="A62" t="str">
            <v>04.1102</v>
          </cell>
          <cell r="B62" t="str">
            <v>SX laép döïng coát theùp £ F18</v>
          </cell>
          <cell r="C62" t="str">
            <v>kg</v>
          </cell>
          <cell r="D62">
            <v>4316.2070000000003</v>
          </cell>
          <cell r="E62">
            <v>148.48500000000001</v>
          </cell>
          <cell r="F62">
            <v>187.36099999999999</v>
          </cell>
          <cell r="G62" t="str">
            <v>04.1102</v>
          </cell>
        </row>
        <row r="63">
          <cell r="A63" t="str">
            <v>04.1103</v>
          </cell>
          <cell r="B63" t="str">
            <v>SX laép döïng coát theùp &gt; F18</v>
          </cell>
          <cell r="C63" t="str">
            <v>kg</v>
          </cell>
          <cell r="D63">
            <v>4322.2129999999997</v>
          </cell>
          <cell r="E63">
            <v>113.02800000000001</v>
          </cell>
          <cell r="F63">
            <v>203.874</v>
          </cell>
          <cell r="G63" t="str">
            <v>04.1103</v>
          </cell>
        </row>
        <row r="64">
          <cell r="A64" t="str">
            <v>04.2002</v>
          </cell>
          <cell r="B64" t="str">
            <v>Vaùn khuoân</v>
          </cell>
          <cell r="C64" t="str">
            <v>m2</v>
          </cell>
          <cell r="D64">
            <v>19977.759999999998</v>
          </cell>
          <cell r="E64">
            <v>5702.46</v>
          </cell>
          <cell r="F64">
            <v>0</v>
          </cell>
          <cell r="G64" t="str">
            <v>04.2002</v>
          </cell>
        </row>
        <row r="65">
          <cell r="A65" t="str">
            <v>04.3210</v>
          </cell>
          <cell r="B65" t="str">
            <v>Beâ toâng loùt M#100 ñaù 4x6</v>
          </cell>
          <cell r="C65" t="str">
            <v>m 3</v>
          </cell>
          <cell r="D65">
            <v>263424</v>
          </cell>
          <cell r="E65">
            <v>39732</v>
          </cell>
          <cell r="G65" t="str">
            <v>04.3210</v>
          </cell>
        </row>
        <row r="66">
          <cell r="A66" t="str">
            <v>04.3210</v>
          </cell>
          <cell r="B66" t="str">
            <v>Beâ toâng loùt M#150 ñaù 4x6</v>
          </cell>
          <cell r="C66" t="str">
            <v>m 3</v>
          </cell>
          <cell r="D66">
            <v>306285</v>
          </cell>
          <cell r="E66">
            <v>39732</v>
          </cell>
          <cell r="G66" t="str">
            <v>04.3210</v>
          </cell>
        </row>
        <row r="67">
          <cell r="A67" t="str">
            <v>04.3333</v>
          </cell>
          <cell r="B67" t="str">
            <v>BT moùng truï coù caàu coâng taùc M#200 ñaù 2x4 (TC keát hôïp ñaàm duøi)</v>
          </cell>
          <cell r="C67" t="str">
            <v>m 3</v>
          </cell>
          <cell r="D67">
            <v>389539</v>
          </cell>
          <cell r="E67">
            <v>44589</v>
          </cell>
          <cell r="F67">
            <v>4003</v>
          </cell>
          <cell r="G67" t="str">
            <v>04.3333</v>
          </cell>
        </row>
        <row r="68">
          <cell r="A68" t="str">
            <v>04.3334</v>
          </cell>
          <cell r="B68" t="str">
            <v>BT moùng truï coù caàu coâng taùc M#250 ñaù 2x4 (TC keát hôïp ñaàm duøi)</v>
          </cell>
          <cell r="C68" t="str">
            <v>m 3</v>
          </cell>
          <cell r="D68">
            <v>436341</v>
          </cell>
          <cell r="E68">
            <v>44589</v>
          </cell>
          <cell r="F68">
            <v>4003</v>
          </cell>
          <cell r="G68" t="str">
            <v>04.3334</v>
          </cell>
        </row>
        <row r="69">
          <cell r="A69" t="str">
            <v>04.3343</v>
          </cell>
          <cell r="B69" t="str">
            <v>BT moùng truï khoâng coù caàu coâng taùc M#200 ñaù 2x4 (TC keát hôïp ñaàm duøi)</v>
          </cell>
          <cell r="C69" t="str">
            <v>m 3</v>
          </cell>
          <cell r="D69">
            <v>368838</v>
          </cell>
          <cell r="E69">
            <v>38261</v>
          </cell>
          <cell r="F69">
            <v>4003</v>
          </cell>
          <cell r="G69" t="str">
            <v>04.3343</v>
          </cell>
        </row>
        <row r="70">
          <cell r="A70" t="str">
            <v>04.3344</v>
          </cell>
          <cell r="B70" t="str">
            <v>BT moùng truï khoâng coù caàu coâng taùc M#250 ñaù 2x4 (TC keát hôïp ñaàm duøi)</v>
          </cell>
          <cell r="C70" t="str">
            <v>m 3</v>
          </cell>
          <cell r="D70">
            <v>415640</v>
          </cell>
          <cell r="E70">
            <v>38261</v>
          </cell>
          <cell r="F70">
            <v>4003</v>
          </cell>
          <cell r="G70" t="str">
            <v>04.3344</v>
          </cell>
        </row>
        <row r="71">
          <cell r="A71" t="str">
            <v>04.3353</v>
          </cell>
          <cell r="B71" t="str">
            <v>BT moùng baûnï coù caàu coâng taùc M#200 ñaù 2x4 (TC keát hôïp ñaàm duøi)</v>
          </cell>
          <cell r="C71" t="str">
            <v>m 3</v>
          </cell>
          <cell r="D71">
            <v>389539</v>
          </cell>
          <cell r="E71">
            <v>41498</v>
          </cell>
          <cell r="F71">
            <v>4003</v>
          </cell>
          <cell r="G71" t="str">
            <v>04.3353</v>
          </cell>
        </row>
        <row r="72">
          <cell r="A72" t="str">
            <v>04.3354</v>
          </cell>
          <cell r="B72" t="str">
            <v>BT moùng baûnï coù caàu coâng taùc M#250 ñaù 2x4 (TC keát hôïp ñaàm duøi)</v>
          </cell>
          <cell r="C72" t="str">
            <v>m 3</v>
          </cell>
          <cell r="D72">
            <v>436341</v>
          </cell>
          <cell r="E72">
            <v>41498</v>
          </cell>
          <cell r="F72">
            <v>4003</v>
          </cell>
          <cell r="G72" t="str">
            <v>04.3354</v>
          </cell>
        </row>
        <row r="73">
          <cell r="A73" t="str">
            <v>04.3801</v>
          </cell>
          <cell r="B73" t="str">
            <v>Laép ñaët moùng neùo troïng löôïng £ 0,25T</v>
          </cell>
          <cell r="C73" t="str">
            <v>caùi</v>
          </cell>
          <cell r="D73">
            <v>4.4000000000000004</v>
          </cell>
          <cell r="E73">
            <v>11051</v>
          </cell>
          <cell r="F73">
            <v>0.15</v>
          </cell>
          <cell r="G73" t="str">
            <v>04.3801</v>
          </cell>
        </row>
        <row r="74">
          <cell r="A74" t="str">
            <v>04.3802</v>
          </cell>
          <cell r="B74" t="str">
            <v>Laép ñaët moùng neùo troïng löôïng £ 0,5T</v>
          </cell>
          <cell r="C74" t="str">
            <v>caùi</v>
          </cell>
          <cell r="E74">
            <v>24214</v>
          </cell>
          <cell r="G74" t="str">
            <v>04.3802</v>
          </cell>
        </row>
        <row r="75">
          <cell r="A75" t="str">
            <v>04.3803</v>
          </cell>
          <cell r="B75" t="str">
            <v>Laép ñaët moùng neùo troïng löôïng &gt; 0,5T</v>
          </cell>
          <cell r="C75" t="str">
            <v>caùi</v>
          </cell>
          <cell r="E75">
            <v>42252</v>
          </cell>
          <cell r="G75" t="str">
            <v>04.3803</v>
          </cell>
        </row>
        <row r="76">
          <cell r="A76" t="str">
            <v>05.4101</v>
          </cell>
          <cell r="B76" t="str">
            <v>Laép ñaët coät theùp baèng thuû coâng (chieáu cao £15m)</v>
          </cell>
          <cell r="C76" t="str">
            <v>taán</v>
          </cell>
          <cell r="D76">
            <v>4516</v>
          </cell>
          <cell r="E76">
            <v>183473</v>
          </cell>
          <cell r="F76">
            <v>0.15</v>
          </cell>
          <cell r="G76" t="str">
            <v>05.4101</v>
          </cell>
        </row>
        <row r="77">
          <cell r="A77" t="str">
            <v>05.4201</v>
          </cell>
          <cell r="B77" t="str">
            <v>Laép ñaët coät theùp baèng thuû coâng (chieáu cao £25m)</v>
          </cell>
          <cell r="C77" t="str">
            <v>taán</v>
          </cell>
          <cell r="D77">
            <v>9686</v>
          </cell>
          <cell r="E77">
            <v>201837</v>
          </cell>
          <cell r="F77">
            <v>4.5999999999999996</v>
          </cell>
          <cell r="G77" t="str">
            <v>05.4201</v>
          </cell>
        </row>
        <row r="78">
          <cell r="A78" t="str">
            <v>05.4301</v>
          </cell>
          <cell r="B78" t="str">
            <v>Laép ñaët coät theùp baèng thuû coâng (chieáu cao £40m)</v>
          </cell>
          <cell r="C78" t="str">
            <v>taán</v>
          </cell>
          <cell r="D78">
            <v>10330</v>
          </cell>
          <cell r="E78">
            <v>232064</v>
          </cell>
          <cell r="F78">
            <v>0.89999999999999991</v>
          </cell>
          <cell r="G78" t="str">
            <v>05.4301</v>
          </cell>
        </row>
        <row r="79">
          <cell r="A79" t="str">
            <v>05.4401</v>
          </cell>
          <cell r="B79" t="str">
            <v>Laép ñaët coät theùp baèng thuû coâng (chieáu cao £55m)</v>
          </cell>
          <cell r="C79" t="str">
            <v>taán</v>
          </cell>
          <cell r="D79">
            <v>12271</v>
          </cell>
          <cell r="E79">
            <v>266841</v>
          </cell>
          <cell r="F79">
            <v>34538</v>
          </cell>
          <cell r="G79" t="str">
            <v>05.4401</v>
          </cell>
        </row>
        <row r="80">
          <cell r="A80" t="str">
            <v>05.4501</v>
          </cell>
          <cell r="B80" t="str">
            <v>Laép ñaët coät theùp baèng thuû coâng (chieáu cao £70m)</v>
          </cell>
          <cell r="C80" t="str">
            <v>taán</v>
          </cell>
          <cell r="D80">
            <v>12915</v>
          </cell>
          <cell r="E80">
            <v>307143</v>
          </cell>
          <cell r="F80">
            <v>31084.199999999997</v>
          </cell>
          <cell r="G80" t="str">
            <v>05.4501</v>
          </cell>
        </row>
        <row r="81">
          <cell r="A81" t="str">
            <v>05.4601</v>
          </cell>
          <cell r="B81" t="str">
            <v>Laép ñaët coät theùp baèng thuû coâng (chieáu cao £85m)</v>
          </cell>
          <cell r="C81" t="str">
            <v>taán</v>
          </cell>
          <cell r="D81">
            <v>13558</v>
          </cell>
          <cell r="E81">
            <v>352808</v>
          </cell>
          <cell r="F81">
            <v>110000</v>
          </cell>
          <cell r="G81" t="str">
            <v>05.4601</v>
          </cell>
        </row>
        <row r="82">
          <cell r="A82" t="str">
            <v>05.4701</v>
          </cell>
          <cell r="B82" t="str">
            <v>Laép ñaët coät theùp baèng thuû coâng (chieáu cao £100m)</v>
          </cell>
          <cell r="C82" t="str">
            <v>taán</v>
          </cell>
          <cell r="D82">
            <v>13558</v>
          </cell>
          <cell r="E82">
            <v>405786</v>
          </cell>
          <cell r="F82">
            <v>141084.20000000001</v>
          </cell>
          <cell r="G82" t="str">
            <v>05.4701</v>
          </cell>
        </row>
        <row r="83">
          <cell r="A83" t="str">
            <v>05.5101</v>
          </cell>
          <cell r="B83" t="str">
            <v>Noái coät beâ toâng baèng maët bích (ÑH bình thöôøng)</v>
          </cell>
          <cell r="C83" t="str">
            <v>moái</v>
          </cell>
          <cell r="D83">
            <v>5407</v>
          </cell>
          <cell r="E83">
            <v>48753</v>
          </cell>
          <cell r="F83">
            <v>73000</v>
          </cell>
          <cell r="G83" t="str">
            <v>05.5101</v>
          </cell>
        </row>
        <row r="84">
          <cell r="A84" t="str">
            <v>05.5102</v>
          </cell>
          <cell r="B84" t="str">
            <v>Noái coät beâ toâng baèng maët bích (ÑH söôøn ñoài)</v>
          </cell>
          <cell r="C84" t="str">
            <v>moái</v>
          </cell>
          <cell r="D84">
            <v>5407</v>
          </cell>
          <cell r="E84">
            <v>51190</v>
          </cell>
          <cell r="F84">
            <v>68084.200000000012</v>
          </cell>
          <cell r="G84" t="str">
            <v>05.5102</v>
          </cell>
        </row>
        <row r="85">
          <cell r="A85" t="str">
            <v>05.5103</v>
          </cell>
          <cell r="B85" t="str">
            <v>Noái coät beâ toâng baèng maët bích (ÑH sình laày)</v>
          </cell>
          <cell r="C85" t="str">
            <v>moái</v>
          </cell>
          <cell r="D85">
            <v>13755</v>
          </cell>
          <cell r="E85">
            <v>58503</v>
          </cell>
          <cell r="G85" t="str">
            <v>05.5103</v>
          </cell>
        </row>
        <row r="86">
          <cell r="A86" t="str">
            <v>05.5211</v>
          </cell>
          <cell r="B86" t="str">
            <v>Döïng coät beâ toâng baèng thuû coâng (chieáu cao £ 8m)</v>
          </cell>
          <cell r="C86" t="str">
            <v>coät</v>
          </cell>
          <cell r="D86">
            <v>8490</v>
          </cell>
          <cell r="E86">
            <v>74917</v>
          </cell>
          <cell r="G86" t="str">
            <v>05.5211</v>
          </cell>
        </row>
        <row r="87">
          <cell r="A87" t="str">
            <v>05.5212</v>
          </cell>
          <cell r="B87" t="str">
            <v>Döïng coät beâ toâng baèng thuû coâng (chieáu cao £ 10m)</v>
          </cell>
          <cell r="C87" t="str">
            <v>coät</v>
          </cell>
          <cell r="D87">
            <v>8490</v>
          </cell>
          <cell r="E87">
            <v>80605</v>
          </cell>
          <cell r="G87" t="str">
            <v>05.5212</v>
          </cell>
        </row>
        <row r="88">
          <cell r="A88" t="str">
            <v>05.5213</v>
          </cell>
          <cell r="B88" t="str">
            <v>Döïng coät beâ toâng baèng thuû coâng (chieáu cao £ 12m)</v>
          </cell>
          <cell r="C88" t="str">
            <v>coät</v>
          </cell>
          <cell r="D88">
            <v>8490</v>
          </cell>
          <cell r="E88">
            <v>86293</v>
          </cell>
          <cell r="F88" t="str">
            <v>§¸ d¨m  1x2            ®Ëp thñ c«ng    t¹i chç</v>
          </cell>
          <cell r="G88" t="str">
            <v>05.5213</v>
          </cell>
        </row>
        <row r="89">
          <cell r="A89" t="str">
            <v>05.5214</v>
          </cell>
          <cell r="B89" t="str">
            <v>Döïng coät beâ toâng baèng thuû coâng (chieáu cao £ 14m)</v>
          </cell>
          <cell r="C89" t="str">
            <v>coät</v>
          </cell>
          <cell r="D89">
            <v>8490</v>
          </cell>
          <cell r="E89">
            <v>107419</v>
          </cell>
          <cell r="G89" t="str">
            <v>05.5214</v>
          </cell>
        </row>
        <row r="90">
          <cell r="A90" t="str">
            <v>05.5215</v>
          </cell>
          <cell r="B90" t="str">
            <v>Döïng coät beâ toâng baèng thuû coâng (chieáu cao £ 16m)</v>
          </cell>
          <cell r="C90" t="str">
            <v>coät</v>
          </cell>
          <cell r="D90">
            <v>9854</v>
          </cell>
          <cell r="E90">
            <v>116844</v>
          </cell>
          <cell r="F90">
            <v>0</v>
          </cell>
          <cell r="G90" t="str">
            <v>05.5215</v>
          </cell>
        </row>
        <row r="91">
          <cell r="A91" t="str">
            <v>05.5216</v>
          </cell>
          <cell r="B91" t="str">
            <v>Döïng coät beâ toâng baèng thuû coâng (chieáu cao £ 18m)</v>
          </cell>
          <cell r="C91" t="str">
            <v>coät</v>
          </cell>
          <cell r="D91">
            <v>9854</v>
          </cell>
          <cell r="E91">
            <v>152271</v>
          </cell>
          <cell r="G91" t="str">
            <v>05.5216</v>
          </cell>
        </row>
        <row r="92">
          <cell r="A92" t="str">
            <v>05.5217</v>
          </cell>
          <cell r="B92" t="str">
            <v>Döïng coät beâ toâng baèng thuû coâng (chieáu cao £ 20m)</v>
          </cell>
          <cell r="C92" t="str">
            <v>coät</v>
          </cell>
          <cell r="D92">
            <v>9854</v>
          </cell>
          <cell r="E92">
            <v>177460</v>
          </cell>
          <cell r="G92" t="str">
            <v>05.5217</v>
          </cell>
        </row>
        <row r="93">
          <cell r="A93" t="str">
            <v>05.5218</v>
          </cell>
          <cell r="B93" t="str">
            <v>Döïng coät beâ toâng baèng thuû coâng (chieáu cao &gt; 20m)</v>
          </cell>
          <cell r="C93" t="str">
            <v>coät</v>
          </cell>
          <cell r="D93">
            <v>9854</v>
          </cell>
          <cell r="E93">
            <v>193711</v>
          </cell>
          <cell r="G93" t="str">
            <v>05.5218</v>
          </cell>
        </row>
        <row r="94">
          <cell r="A94" t="str">
            <v>05.6011</v>
          </cell>
          <cell r="B94" t="str">
            <v>Laép ñaët xaø theùp cho coät ñôõ (troïng löôïng 25 kg)</v>
          </cell>
          <cell r="C94" t="str">
            <v>boä</v>
          </cell>
          <cell r="D94">
            <v>1</v>
          </cell>
          <cell r="E94">
            <v>13161</v>
          </cell>
          <cell r="G94" t="str">
            <v>05.6011</v>
          </cell>
        </row>
        <row r="95">
          <cell r="A95" t="str">
            <v>05.6021</v>
          </cell>
          <cell r="B95" t="str">
            <v>Laép ñaët xaø theùp cho coät ñôõ (troïng löôïng 50 kg)</v>
          </cell>
          <cell r="C95" t="str">
            <v>boä</v>
          </cell>
          <cell r="D95">
            <v>0.2</v>
          </cell>
          <cell r="E95">
            <v>17806</v>
          </cell>
          <cell r="G95" t="str">
            <v>05.6021</v>
          </cell>
        </row>
        <row r="96">
          <cell r="A96" t="str">
            <v>05.6031</v>
          </cell>
          <cell r="B96" t="str">
            <v>Laép ñaët xaø theùp cho coät ñôõ (troïng löôïng 100 kg)</v>
          </cell>
          <cell r="C96" t="str">
            <v>boä</v>
          </cell>
          <cell r="D96">
            <v>34538</v>
          </cell>
          <cell r="E96">
            <v>23999</v>
          </cell>
          <cell r="G96" t="str">
            <v>05.6031</v>
          </cell>
        </row>
        <row r="97">
          <cell r="A97" t="str">
            <v>05.6041</v>
          </cell>
          <cell r="B97" t="str">
            <v>Laép ñaët xaø theùp cho coät ñôõ (troïng löôïng 140 kg)</v>
          </cell>
          <cell r="C97" t="str">
            <v>boä</v>
          </cell>
          <cell r="D97">
            <v>678188.16799999983</v>
          </cell>
          <cell r="E97">
            <v>28799</v>
          </cell>
          <cell r="F97">
            <v>0</v>
          </cell>
          <cell r="G97" t="str">
            <v>05.6041</v>
          </cell>
        </row>
        <row r="98">
          <cell r="A98" t="str">
            <v>05.6051</v>
          </cell>
          <cell r="B98" t="str">
            <v>Laép ñaët xaø theùp cho coät ñôõ (troïng löôïng 230 kg)</v>
          </cell>
          <cell r="C98" t="str">
            <v>boä</v>
          </cell>
          <cell r="D98">
            <v>0.2</v>
          </cell>
          <cell r="E98">
            <v>39792</v>
          </cell>
          <cell r="G98" t="str">
            <v>05.6051</v>
          </cell>
        </row>
        <row r="99">
          <cell r="A99" t="str">
            <v>05.6061</v>
          </cell>
          <cell r="B99" t="str">
            <v>Laép ñaët xaø theùp cho coät ñôõ (troïng löôïng 320 kg)</v>
          </cell>
          <cell r="C99" t="str">
            <v>boä</v>
          </cell>
          <cell r="D99">
            <v>4.96</v>
          </cell>
          <cell r="E99">
            <v>50785</v>
          </cell>
          <cell r="G99" t="str">
            <v>05.6061</v>
          </cell>
        </row>
        <row r="100">
          <cell r="A100" t="str">
            <v>05.6071</v>
          </cell>
          <cell r="B100" t="str">
            <v>Laép ñaët xaø theùp cho coät ñôõ (troïng löôïng 410 kg)</v>
          </cell>
          <cell r="C100" t="str">
            <v>boä</v>
          </cell>
          <cell r="E100">
            <v>59920</v>
          </cell>
          <cell r="G100" t="str">
            <v>05.6071</v>
          </cell>
        </row>
        <row r="101">
          <cell r="A101" t="str">
            <v>05.6081</v>
          </cell>
          <cell r="B101" t="str">
            <v>Laép ñaët xaø theùp cho coät ñôõ (troïng löôïng 500 kg)</v>
          </cell>
          <cell r="C101" t="str">
            <v>boä</v>
          </cell>
          <cell r="E101">
            <v>70759</v>
          </cell>
          <cell r="G101" t="str">
            <v>05.6081</v>
          </cell>
        </row>
        <row r="102">
          <cell r="A102" t="str">
            <v>05.6012</v>
          </cell>
          <cell r="B102" t="str">
            <v>Laép ñaët xaø theùp cho coät neùo (troïng löôïng 25 kg)</v>
          </cell>
          <cell r="C102" t="str">
            <v>boä</v>
          </cell>
          <cell r="D102">
            <v>4.3</v>
          </cell>
          <cell r="E102">
            <v>17496</v>
          </cell>
          <cell r="G102" t="str">
            <v>05.6012</v>
          </cell>
        </row>
        <row r="103">
          <cell r="A103" t="str">
            <v>05.6022</v>
          </cell>
          <cell r="B103" t="str">
            <v>Laép ñaët xaø theùp cho coät neùoõ (troïng löôïng 50 kg)</v>
          </cell>
          <cell r="C103" t="str">
            <v>boä</v>
          </cell>
          <cell r="D103">
            <v>4.5199999999999996</v>
          </cell>
          <cell r="E103">
            <v>23689</v>
          </cell>
          <cell r="G103" t="str">
            <v>05.6022</v>
          </cell>
        </row>
        <row r="104">
          <cell r="A104" t="str">
            <v>05.6032</v>
          </cell>
          <cell r="B104" t="str">
            <v>Laép ñaët xaø theùp cho coät neùo (troïng löôïng 100 kg)</v>
          </cell>
          <cell r="C104" t="str">
            <v>boä</v>
          </cell>
          <cell r="D104">
            <v>19.635999999999996</v>
          </cell>
          <cell r="E104">
            <v>31896</v>
          </cell>
          <cell r="G104" t="str">
            <v>05.6032</v>
          </cell>
        </row>
        <row r="105">
          <cell r="A105" t="str">
            <v>05.6042</v>
          </cell>
          <cell r="B105" t="str">
            <v>Laép ñaët xaø theùp cho coät neùo (troïng löôïng 140 kg)</v>
          </cell>
          <cell r="C105" t="str">
            <v>boä</v>
          </cell>
          <cell r="D105">
            <v>34538</v>
          </cell>
          <cell r="E105">
            <v>38244</v>
          </cell>
          <cell r="F105">
            <v>34538</v>
          </cell>
          <cell r="G105" t="str">
            <v>05.6042</v>
          </cell>
        </row>
        <row r="106">
          <cell r="A106" t="str">
            <v>05.6052</v>
          </cell>
          <cell r="B106" t="str">
            <v>Laép ñaët xaø theùp cho coät neùo (troïng löôïng 230 kg)</v>
          </cell>
          <cell r="C106" t="str">
            <v>boä</v>
          </cell>
          <cell r="D106">
            <v>767617.29180952371</v>
          </cell>
          <cell r="E106">
            <v>52798</v>
          </cell>
          <cell r="F106">
            <v>0</v>
          </cell>
          <cell r="G106" t="str">
            <v>05.6052</v>
          </cell>
        </row>
        <row r="107">
          <cell r="A107" t="str">
            <v>05.6062</v>
          </cell>
          <cell r="B107" t="str">
            <v>Laép ñaët xaø theùp cho coät neùo (troïng löôïng 320 kg)</v>
          </cell>
          <cell r="C107" t="str">
            <v>boä</v>
          </cell>
          <cell r="D107">
            <v>735000</v>
          </cell>
          <cell r="E107">
            <v>67507</v>
          </cell>
          <cell r="F107">
            <v>110000</v>
          </cell>
          <cell r="G107" t="str">
            <v>05.6062</v>
          </cell>
        </row>
        <row r="108">
          <cell r="A108" t="str">
            <v>05.6072</v>
          </cell>
          <cell r="B108" t="str">
            <v>Laép ñaët xaø theùp cho coät neùo (troïng löôïng 410 kg)</v>
          </cell>
          <cell r="C108" t="str">
            <v>boä</v>
          </cell>
          <cell r="D108">
            <v>1502617.2918095237</v>
          </cell>
          <cell r="E108">
            <v>79584</v>
          </cell>
          <cell r="F108">
            <v>110000</v>
          </cell>
          <cell r="G108" t="str">
            <v>05.6072</v>
          </cell>
        </row>
        <row r="109">
          <cell r="A109" t="str">
            <v>05.6082</v>
          </cell>
          <cell r="B109" t="str">
            <v>Laép ñaët xaø theùp cho coät neùo (troïng löôïng 500 kg)</v>
          </cell>
          <cell r="C109" t="str">
            <v>boä</v>
          </cell>
          <cell r="D109">
            <v>639000</v>
          </cell>
          <cell r="E109">
            <v>93984</v>
          </cell>
          <cell r="F109">
            <v>73000</v>
          </cell>
          <cell r="G109" t="str">
            <v>05.6082</v>
          </cell>
        </row>
        <row r="110">
          <cell r="A110" t="str">
            <v>05.6043</v>
          </cell>
          <cell r="B110" t="str">
            <v>Laép ñaët xaø theùp cho coät ñuùp (troïng löôïng 140 kg)</v>
          </cell>
          <cell r="C110" t="str">
            <v>boä</v>
          </cell>
          <cell r="D110">
            <v>863617.29180952371</v>
          </cell>
          <cell r="E110">
            <v>32515</v>
          </cell>
          <cell r="F110">
            <v>37000</v>
          </cell>
          <cell r="G110" t="str">
            <v>05.6043</v>
          </cell>
        </row>
        <row r="111">
          <cell r="A111" t="str">
            <v>05.6053</v>
          </cell>
          <cell r="B111" t="str">
            <v>Laép ñaët xaø theùp cho coät ñuùp (troïng löôïng 230 kg)</v>
          </cell>
          <cell r="C111" t="str">
            <v>boä</v>
          </cell>
          <cell r="E111">
            <v>46295</v>
          </cell>
          <cell r="G111" t="str">
            <v>05.6053</v>
          </cell>
        </row>
        <row r="112">
          <cell r="A112" t="str">
            <v>05.6063</v>
          </cell>
          <cell r="B112" t="str">
            <v>Laép ñaët xaø theùp cho coät ñuùp (troïng löôïng 320 kg)</v>
          </cell>
          <cell r="C112" t="str">
            <v>boä</v>
          </cell>
          <cell r="E112">
            <v>58062</v>
          </cell>
          <cell r="F112" t="str">
            <v xml:space="preserve">         </v>
          </cell>
          <cell r="G112" t="str">
            <v>05.6063</v>
          </cell>
        </row>
        <row r="113">
          <cell r="A113" t="str">
            <v>05.6073</v>
          </cell>
          <cell r="B113" t="str">
            <v>Laép ñaët xaø theùp cho coät ñuùp (troïng löôïng 410 kg)</v>
          </cell>
          <cell r="C113" t="str">
            <v>boä</v>
          </cell>
          <cell r="E113">
            <v>64101</v>
          </cell>
          <cell r="G113" t="str">
            <v>05.6073</v>
          </cell>
        </row>
        <row r="114">
          <cell r="A114" t="str">
            <v>05.6083</v>
          </cell>
          <cell r="B114" t="str">
            <v>Laép ñaët xaø theùp cho coät ñuùp (troïng löôïng 500 kg)</v>
          </cell>
          <cell r="C114" t="str">
            <v>boä</v>
          </cell>
          <cell r="E114">
            <v>69985</v>
          </cell>
          <cell r="G114" t="str">
            <v>05.6083</v>
          </cell>
        </row>
        <row r="115">
          <cell r="A115" t="str">
            <v>05.6093</v>
          </cell>
          <cell r="B115" t="str">
            <v>Laép ñaët xaø theùp cho coät ñuùp (troïng löôïng 750 kg)</v>
          </cell>
          <cell r="C115" t="str">
            <v>boä</v>
          </cell>
          <cell r="E115">
            <v>89648</v>
          </cell>
          <cell r="G115" t="str">
            <v>05.6093</v>
          </cell>
        </row>
        <row r="116">
          <cell r="A116" t="str">
            <v>05.6103</v>
          </cell>
          <cell r="B116" t="str">
            <v>Laép ñaët xaø theùp cho coät ñuùp (troïng löôïng 1000 kg)</v>
          </cell>
          <cell r="C116" t="str">
            <v>boä</v>
          </cell>
          <cell r="E116">
            <v>105751</v>
          </cell>
          <cell r="G116" t="str">
            <v>05.6103</v>
          </cell>
        </row>
        <row r="117">
          <cell r="A117" t="str">
            <v>05.6044</v>
          </cell>
          <cell r="B117" t="str">
            <v>Laép ñaët xaø theùp cho coät ñuùp (troïng löôïng 140 kg)</v>
          </cell>
          <cell r="C117" t="str">
            <v>boä</v>
          </cell>
          <cell r="E117">
            <v>36076</v>
          </cell>
          <cell r="G117" t="str">
            <v>05.6044</v>
          </cell>
        </row>
        <row r="118">
          <cell r="A118" t="str">
            <v>05.6054</v>
          </cell>
          <cell r="B118" t="str">
            <v>Laép ñaët xaø theùp cho coät ñuùp (troïng löôïng 230 kg)</v>
          </cell>
          <cell r="C118" t="str">
            <v>boä</v>
          </cell>
          <cell r="E118">
            <v>51559</v>
          </cell>
          <cell r="G118" t="str">
            <v>05.6054</v>
          </cell>
        </row>
        <row r="119">
          <cell r="A119" t="str">
            <v>05.6064</v>
          </cell>
          <cell r="B119" t="str">
            <v>Laép ñaët xaø theùp cho coät ñuùp (troïng löôïng 320 kg)</v>
          </cell>
          <cell r="C119" t="str">
            <v>boä</v>
          </cell>
          <cell r="E119">
            <v>64565</v>
          </cell>
          <cell r="G119" t="str">
            <v>05.6064</v>
          </cell>
        </row>
        <row r="120">
          <cell r="A120" t="str">
            <v>05.6074</v>
          </cell>
          <cell r="B120" t="str">
            <v>Laép ñaët xaø theùp cho coät ñuùp (troïng löôïng 410 kg)</v>
          </cell>
          <cell r="C120" t="str">
            <v>boä</v>
          </cell>
          <cell r="D120" t="str">
            <v>§¬n vÞ</v>
          </cell>
          <cell r="E120">
            <v>71223</v>
          </cell>
          <cell r="F120" t="str">
            <v>HÖ sè bËc hµng</v>
          </cell>
          <cell r="G120" t="str">
            <v>05.6074</v>
          </cell>
        </row>
        <row r="121">
          <cell r="A121" t="str">
            <v>05.6084</v>
          </cell>
          <cell r="B121" t="str">
            <v>Laép ñaët xaø theùp cho coät ñuùp (troïng löôïng 500 kg)</v>
          </cell>
          <cell r="C121" t="str">
            <v>boä</v>
          </cell>
          <cell r="E121">
            <v>77726</v>
          </cell>
          <cell r="G121" t="str">
            <v>05.6084</v>
          </cell>
        </row>
        <row r="122">
          <cell r="A122" t="str">
            <v>05.6094</v>
          </cell>
          <cell r="B122" t="str">
            <v>Laép ñaët xaø theùp cho coät ñuùp (troïng löôïng 750 kg)</v>
          </cell>
          <cell r="C122" t="str">
            <v>boä</v>
          </cell>
          <cell r="E122">
            <v>99558</v>
          </cell>
          <cell r="F122">
            <v>1.3</v>
          </cell>
          <cell r="G122" t="str">
            <v>05.6094</v>
          </cell>
        </row>
        <row r="123">
          <cell r="A123" t="str">
            <v>05.6104</v>
          </cell>
          <cell r="B123" t="str">
            <v>Laép ñaët xaø theùp cho coät ñuùp (troïng löôïng 1000 kg)</v>
          </cell>
          <cell r="C123" t="str">
            <v>boä</v>
          </cell>
          <cell r="E123">
            <v>117518</v>
          </cell>
          <cell r="F123">
            <v>1.3</v>
          </cell>
          <cell r="G123" t="str">
            <v>05.6104</v>
          </cell>
        </row>
        <row r="124">
          <cell r="A124" t="str">
            <v>06.1105</v>
          </cell>
          <cell r="B124" t="str">
            <v>Laép ñaët söù ñöùng 22 kV</v>
          </cell>
          <cell r="C124" t="str">
            <v>söù</v>
          </cell>
          <cell r="D124">
            <v>155</v>
          </cell>
          <cell r="E124">
            <v>3499.2</v>
          </cell>
          <cell r="G124" t="str">
            <v>06.1105</v>
          </cell>
        </row>
        <row r="125">
          <cell r="A125" t="str">
            <v>06.1106</v>
          </cell>
          <cell r="B125" t="str">
            <v>Laép ñaët söù ñöùng 35 kV</v>
          </cell>
          <cell r="C125" t="str">
            <v>söù</v>
          </cell>
          <cell r="D125">
            <v>155</v>
          </cell>
          <cell r="E125">
            <v>4459.2</v>
          </cell>
          <cell r="G125" t="str">
            <v>06.1106</v>
          </cell>
        </row>
        <row r="126">
          <cell r="A126" t="str">
            <v>06.1213</v>
          </cell>
          <cell r="B126" t="str">
            <v>Laép ñaët söù ñöùng haï theá loaïi 2 söù</v>
          </cell>
          <cell r="C126" t="str">
            <v>söù</v>
          </cell>
          <cell r="D126">
            <v>4735.5</v>
          </cell>
          <cell r="E126">
            <v>2884.3</v>
          </cell>
          <cell r="G126" t="str">
            <v>06.1213</v>
          </cell>
        </row>
        <row r="127">
          <cell r="A127" t="str">
            <v>06.1214</v>
          </cell>
          <cell r="B127" t="str">
            <v>Laép ñaët söù ñöùng haï theá loaïi 3 söù</v>
          </cell>
          <cell r="C127" t="str">
            <v>söù</v>
          </cell>
          <cell r="D127">
            <v>14490</v>
          </cell>
          <cell r="E127">
            <v>4017.4</v>
          </cell>
          <cell r="G127" t="str">
            <v>06.1214</v>
          </cell>
        </row>
        <row r="128">
          <cell r="A128" t="str">
            <v>06.1215</v>
          </cell>
          <cell r="B128" t="str">
            <v>Laép ñaët söù ñöùng haï theá loaïi 4 söù</v>
          </cell>
          <cell r="C128" t="str">
            <v>söù</v>
          </cell>
          <cell r="D128">
            <v>21000</v>
          </cell>
          <cell r="E128">
            <v>5665.5</v>
          </cell>
          <cell r="G128" t="str">
            <v>06.1215</v>
          </cell>
        </row>
        <row r="129">
          <cell r="A129" t="str">
            <v>06.1411</v>
          </cell>
          <cell r="B129" t="str">
            <v>Laép ñaët chuoãi söù ñôõ £ 2 baùt chieàu cao £ 20m</v>
          </cell>
          <cell r="C129" t="str">
            <v>chuoãi</v>
          </cell>
          <cell r="D129">
            <v>405</v>
          </cell>
          <cell r="E129">
            <v>2925</v>
          </cell>
          <cell r="G129" t="str">
            <v>06.1411</v>
          </cell>
        </row>
        <row r="130">
          <cell r="A130" t="str">
            <v>06.1412</v>
          </cell>
          <cell r="B130" t="str">
            <v>Laép ñaët chuoãi söù ñôõ £ 2 baùt chieàu cao £ 30m</v>
          </cell>
          <cell r="C130" t="str">
            <v>chuoãi</v>
          </cell>
          <cell r="D130">
            <v>405</v>
          </cell>
          <cell r="E130">
            <v>3738</v>
          </cell>
          <cell r="G130" t="str">
            <v>06.1412</v>
          </cell>
        </row>
        <row r="131">
          <cell r="A131" t="str">
            <v>06.1421</v>
          </cell>
          <cell r="B131" t="str">
            <v>Laép ñaët chuoãi söù ñôõ £ 5 baùt chieàu cao £ 20m</v>
          </cell>
          <cell r="C131" t="str">
            <v>chuoãi</v>
          </cell>
          <cell r="D131">
            <v>610</v>
          </cell>
          <cell r="E131">
            <v>6500</v>
          </cell>
          <cell r="G131" t="str">
            <v>06.1421</v>
          </cell>
        </row>
        <row r="132">
          <cell r="A132" t="str">
            <v>06.1422</v>
          </cell>
          <cell r="B132" t="str">
            <v>Laép ñaët chuoãi söù ñôõ £ 5 baùt chieàu cao £ 30m</v>
          </cell>
          <cell r="C132" t="str">
            <v>chuoãi</v>
          </cell>
          <cell r="D132">
            <v>610</v>
          </cell>
          <cell r="E132">
            <v>6825</v>
          </cell>
          <cell r="G132" t="str">
            <v>06.1422</v>
          </cell>
        </row>
        <row r="133">
          <cell r="A133" t="str">
            <v>06.1431</v>
          </cell>
          <cell r="B133" t="str">
            <v>Laép ñaët chuoãi söù ñôõ £ 8 baùt chieàu cao £ 20m</v>
          </cell>
          <cell r="C133" t="str">
            <v>chuoãi</v>
          </cell>
          <cell r="D133">
            <v>975</v>
          </cell>
          <cell r="E133">
            <v>10401</v>
          </cell>
          <cell r="G133" t="str">
            <v>06.1431</v>
          </cell>
        </row>
        <row r="134">
          <cell r="A134" t="str">
            <v>06.1432</v>
          </cell>
          <cell r="B134" t="str">
            <v>Laép ñaët chuoãi söù ñôõ £ 8 baùt chieàu cao £ 30m</v>
          </cell>
          <cell r="C134" t="str">
            <v>chuoãi</v>
          </cell>
          <cell r="D134">
            <v>975</v>
          </cell>
          <cell r="E134">
            <v>10888</v>
          </cell>
          <cell r="G134" t="str">
            <v>06.1432</v>
          </cell>
        </row>
        <row r="135">
          <cell r="A135" t="str">
            <v>06.1441</v>
          </cell>
          <cell r="B135" t="str">
            <v>Laép ñaët chuoãi söù ñôõ £ 11 baùt chieàu cao £ 20m</v>
          </cell>
          <cell r="C135" t="str">
            <v>chuoãi</v>
          </cell>
          <cell r="D135">
            <v>1335</v>
          </cell>
          <cell r="E135">
            <v>14626</v>
          </cell>
          <cell r="G135" t="str">
            <v>06.1441</v>
          </cell>
        </row>
        <row r="136">
          <cell r="A136" t="str">
            <v>06.1442</v>
          </cell>
          <cell r="B136" t="str">
            <v>Laép ñaët chuoãi söù ñôõ £ 11 baùt chieàu cao £ 30m</v>
          </cell>
          <cell r="C136" t="str">
            <v>chuoãi</v>
          </cell>
          <cell r="D136">
            <v>1335</v>
          </cell>
          <cell r="E136">
            <v>15438</v>
          </cell>
          <cell r="G136" t="str">
            <v>06.1442</v>
          </cell>
        </row>
        <row r="137">
          <cell r="A137" t="str">
            <v>06.1511</v>
          </cell>
          <cell r="B137" t="str">
            <v>Laép ñaët chuoãi söù neùo £ 2 baùt chieàu cao £ 20m</v>
          </cell>
          <cell r="C137" t="str">
            <v>chuoãi</v>
          </cell>
          <cell r="D137">
            <v>405</v>
          </cell>
          <cell r="E137">
            <v>3088</v>
          </cell>
          <cell r="G137" t="str">
            <v>06.1511</v>
          </cell>
        </row>
        <row r="138">
          <cell r="A138" t="str">
            <v>06.1512</v>
          </cell>
          <cell r="B138" t="str">
            <v>Laép ñaët chuoãi söù neùo £ 2 baùt chieàu cao £ 30m</v>
          </cell>
          <cell r="C138" t="str">
            <v>chuoãi</v>
          </cell>
          <cell r="D138">
            <v>405</v>
          </cell>
          <cell r="E138">
            <v>3900</v>
          </cell>
          <cell r="G138" t="str">
            <v>06.1512</v>
          </cell>
        </row>
        <row r="139">
          <cell r="A139" t="str">
            <v>06.1521</v>
          </cell>
          <cell r="B139" t="str">
            <v>Laép ñaët chuoãi söù neùo £ 5 baùt chieàu cao £ 20m</v>
          </cell>
          <cell r="C139" t="str">
            <v>chuoãi</v>
          </cell>
          <cell r="D139">
            <v>610</v>
          </cell>
          <cell r="E139">
            <v>7313</v>
          </cell>
          <cell r="G139" t="str">
            <v>06.1521</v>
          </cell>
        </row>
        <row r="140">
          <cell r="A140" t="str">
            <v>06.1522</v>
          </cell>
          <cell r="B140" t="str">
            <v>Laép ñaët chuoãi söù neùo £ 5 baùt chieàu cao £ 30m</v>
          </cell>
          <cell r="C140" t="str">
            <v>chuoãi</v>
          </cell>
          <cell r="D140">
            <v>610</v>
          </cell>
          <cell r="E140">
            <v>7638</v>
          </cell>
          <cell r="G140" t="str">
            <v>06.1522</v>
          </cell>
        </row>
        <row r="141">
          <cell r="A141" t="str">
            <v>06.1531</v>
          </cell>
          <cell r="B141" t="str">
            <v>Laép ñaët chuoãi söù neùo £ 8 baùt chieàu cao £ 20m</v>
          </cell>
          <cell r="C141" t="str">
            <v>chuoãi</v>
          </cell>
          <cell r="D141">
            <v>975</v>
          </cell>
          <cell r="E141">
            <v>11538</v>
          </cell>
          <cell r="G141" t="str">
            <v>06.1531</v>
          </cell>
        </row>
        <row r="142">
          <cell r="A142" t="str">
            <v>06.1532</v>
          </cell>
          <cell r="B142" t="str">
            <v>Laép ñaët chuoãi söù neùo £ 8 baùt chieàu cao £ 30m</v>
          </cell>
          <cell r="C142" t="str">
            <v>chuoãi</v>
          </cell>
          <cell r="D142">
            <v>975</v>
          </cell>
          <cell r="E142">
            <v>12188</v>
          </cell>
          <cell r="G142" t="str">
            <v>06.1532</v>
          </cell>
        </row>
        <row r="143">
          <cell r="A143" t="str">
            <v>06.1541</v>
          </cell>
          <cell r="B143" t="str">
            <v>Laép ñaët chuoãi söù neùo £ 11 baùt chieàu cao £ 20m</v>
          </cell>
          <cell r="C143" t="str">
            <v>chuoãi</v>
          </cell>
          <cell r="D143">
            <v>1335</v>
          </cell>
          <cell r="E143">
            <v>16413</v>
          </cell>
          <cell r="G143" t="str">
            <v>06.1541</v>
          </cell>
        </row>
        <row r="144">
          <cell r="A144" t="str">
            <v>06.1542</v>
          </cell>
          <cell r="B144" t="str">
            <v>Laép ñaët chuoãi söù neùo £ 11 baùt chieàu cao £ 30m</v>
          </cell>
          <cell r="C144" t="str">
            <v>chuoãi</v>
          </cell>
          <cell r="D144">
            <v>1335</v>
          </cell>
          <cell r="E144">
            <v>17389</v>
          </cell>
          <cell r="G144" t="str">
            <v>06.1542</v>
          </cell>
        </row>
        <row r="145">
          <cell r="A145" t="str">
            <v>06.2011</v>
          </cell>
          <cell r="B145" t="str">
            <v>Laép taï choáng rung (Coät coù chieàu cao £ 20m)</v>
          </cell>
          <cell r="C145" t="str">
            <v>boä</v>
          </cell>
          <cell r="E145">
            <v>5850</v>
          </cell>
          <cell r="G145" t="str">
            <v>06.2011</v>
          </cell>
        </row>
        <row r="146">
          <cell r="A146" t="str">
            <v>06.2012</v>
          </cell>
          <cell r="B146" t="str">
            <v>Laép taï choáng rung (Coät coù chieàu cao £ 30m)</v>
          </cell>
          <cell r="C146" t="str">
            <v>boä</v>
          </cell>
          <cell r="E146">
            <v>6175</v>
          </cell>
          <cell r="G146" t="str">
            <v>06.2012</v>
          </cell>
        </row>
        <row r="147">
          <cell r="A147" t="str">
            <v>06.2013</v>
          </cell>
          <cell r="B147" t="str">
            <v>Laép taï choáng rung (Coät coù chieàu cao £ 40m)</v>
          </cell>
          <cell r="C147" t="str">
            <v>boä</v>
          </cell>
          <cell r="E147">
            <v>6988</v>
          </cell>
          <cell r="G147" t="str">
            <v>06.2013</v>
          </cell>
        </row>
        <row r="148">
          <cell r="A148" t="str">
            <v>06.2014</v>
          </cell>
          <cell r="B148" t="str">
            <v>Laép taï choáng rung (Coät coù chieàu cao £ 50m)</v>
          </cell>
          <cell r="C148" t="str">
            <v>boä</v>
          </cell>
          <cell r="E148">
            <v>7963</v>
          </cell>
          <cell r="G148" t="str">
            <v>06.2014</v>
          </cell>
        </row>
        <row r="149">
          <cell r="A149" t="str">
            <v>06.2015</v>
          </cell>
          <cell r="B149" t="str">
            <v>Laép taï choáng rung (Coät coù chieàu cao &gt; 50m)</v>
          </cell>
          <cell r="C149" t="str">
            <v>boä</v>
          </cell>
          <cell r="E149">
            <v>8776</v>
          </cell>
          <cell r="G149" t="str">
            <v>06.2015</v>
          </cell>
        </row>
        <row r="150">
          <cell r="A150" t="str">
            <v>06.2110</v>
          </cell>
          <cell r="B150" t="str">
            <v>Laép ñaët coå deà</v>
          </cell>
          <cell r="C150" t="str">
            <v>boä</v>
          </cell>
          <cell r="E150">
            <v>5688</v>
          </cell>
          <cell r="G150" t="str">
            <v>06.2110</v>
          </cell>
        </row>
        <row r="151">
          <cell r="A151" t="str">
            <v>06.2120</v>
          </cell>
          <cell r="B151" t="str">
            <v xml:space="preserve">Laép ñaët daây neùo </v>
          </cell>
          <cell r="C151" t="str">
            <v>boä</v>
          </cell>
          <cell r="E151">
            <v>7313</v>
          </cell>
          <cell r="G151" t="str">
            <v>06.2120</v>
          </cell>
        </row>
        <row r="152">
          <cell r="A152" t="str">
            <v>06.2141</v>
          </cell>
          <cell r="B152" t="str">
            <v>Laép ñaët khoùa ñôõ daây choáng seùt tieát dieän £ 70 (Coät coù chieàu cao £ 20m)</v>
          </cell>
          <cell r="C152" t="str">
            <v>boä</v>
          </cell>
          <cell r="E152">
            <v>1788</v>
          </cell>
          <cell r="G152" t="str">
            <v>06.2141</v>
          </cell>
        </row>
        <row r="153">
          <cell r="A153" t="str">
            <v>06.2142</v>
          </cell>
          <cell r="B153" t="str">
            <v>Laép ñaët khoùa ñôõ daây choáng seùt tieát dieän £ 70 (Coät coù chieàu cao £ 30m)</v>
          </cell>
          <cell r="C153" t="str">
            <v>boä</v>
          </cell>
          <cell r="E153">
            <v>1950</v>
          </cell>
          <cell r="G153" t="str">
            <v>06.2142</v>
          </cell>
        </row>
        <row r="154">
          <cell r="A154" t="str">
            <v>06.2151</v>
          </cell>
          <cell r="B154" t="str">
            <v>Laép ñaët khoùa ñôõ daây choáng seùt tieát dieän £ 240 (Coät coù chieàu cao £ 20m)</v>
          </cell>
          <cell r="C154" t="str">
            <v>boä</v>
          </cell>
          <cell r="E154">
            <v>2763</v>
          </cell>
          <cell r="G154" t="str">
            <v>06.2151</v>
          </cell>
        </row>
        <row r="155">
          <cell r="A155" t="str">
            <v>06.2152</v>
          </cell>
          <cell r="B155" t="str">
            <v>Laép ñaët khoùa ñôõ daây choáng seùt tieát dieän £ 240 (Coät coù chieàu cao £ 30m)</v>
          </cell>
          <cell r="C155" t="str">
            <v>boä</v>
          </cell>
          <cell r="E155">
            <v>2925</v>
          </cell>
          <cell r="G155" t="str">
            <v>06.2152</v>
          </cell>
        </row>
        <row r="156">
          <cell r="A156" t="str">
            <v>06.2161</v>
          </cell>
          <cell r="B156" t="str">
            <v>Laép ñaët khoùa ñôõ daây choáng seùt tieát dieän &gt; 240 (Coät coù chieàu cao £ 20m)</v>
          </cell>
          <cell r="C156" t="str">
            <v>boä</v>
          </cell>
          <cell r="E156">
            <v>5688</v>
          </cell>
          <cell r="G156" t="str">
            <v>06.2161</v>
          </cell>
        </row>
        <row r="157">
          <cell r="A157" t="str">
            <v>06.2162</v>
          </cell>
          <cell r="B157" t="str">
            <v>Laép ñaët khoùa ñôõ daây choáng seùt tieát dieän &gt; 240 (Coät coù chieàu cao £ 30m)</v>
          </cell>
          <cell r="C157" t="str">
            <v>boä</v>
          </cell>
          <cell r="E157">
            <v>5850</v>
          </cell>
          <cell r="G157" t="str">
            <v>06.2162</v>
          </cell>
        </row>
        <row r="158">
          <cell r="A158" t="str">
            <v>06.5011</v>
          </cell>
          <cell r="B158" t="str">
            <v>Vöôït ñöôøng daây thoâng tin tieát dieän daây £ 50</v>
          </cell>
          <cell r="C158" t="str">
            <v>V.trí</v>
          </cell>
          <cell r="D158">
            <v>75046</v>
          </cell>
          <cell r="E158">
            <v>78346</v>
          </cell>
          <cell r="G158" t="str">
            <v>06.5011</v>
          </cell>
        </row>
        <row r="159">
          <cell r="A159" t="str">
            <v>06.5012</v>
          </cell>
          <cell r="B159" t="str">
            <v>Vöôït ñöôøng daây thoâng tin tieát dieän daây £ 95</v>
          </cell>
          <cell r="C159" t="str">
            <v>V.trí</v>
          </cell>
          <cell r="D159">
            <v>104623</v>
          </cell>
          <cell r="E159">
            <v>90887</v>
          </cell>
          <cell r="G159" t="str">
            <v>06.5012</v>
          </cell>
        </row>
        <row r="160">
          <cell r="A160" t="str">
            <v>06.5013</v>
          </cell>
          <cell r="B160" t="str">
            <v>Vöôït ñöôøng daây thoâng tin tieát dieän daây £ 150</v>
          </cell>
          <cell r="C160" t="str">
            <v>V.trí</v>
          </cell>
          <cell r="D160">
            <v>134516</v>
          </cell>
          <cell r="E160">
            <v>127737</v>
          </cell>
          <cell r="G160" t="str">
            <v>06.5013</v>
          </cell>
        </row>
        <row r="161">
          <cell r="A161" t="str">
            <v>06.5014</v>
          </cell>
          <cell r="B161" t="str">
            <v>Vöôït ñöôøng daây thoâng tin tieát dieän daây £ 240</v>
          </cell>
          <cell r="C161" t="str">
            <v>V.trí</v>
          </cell>
          <cell r="D161">
            <v>163462</v>
          </cell>
          <cell r="E161">
            <v>143530</v>
          </cell>
          <cell r="G161" t="str">
            <v>06.5014</v>
          </cell>
        </row>
        <row r="162">
          <cell r="A162" t="str">
            <v>06.5015</v>
          </cell>
          <cell r="B162" t="str">
            <v>Vöôït ñöôøng daây thoâng tin tieát dieän daây &gt; 240</v>
          </cell>
          <cell r="C162" t="str">
            <v>V.trí</v>
          </cell>
          <cell r="D162">
            <v>223247</v>
          </cell>
          <cell r="E162">
            <v>226521</v>
          </cell>
          <cell r="G162" t="str">
            <v>06.5015</v>
          </cell>
        </row>
        <row r="163">
          <cell r="A163" t="str">
            <v>06.5011</v>
          </cell>
          <cell r="B163" t="str">
            <v>Vöôït ñöôøng daây haï theá tieát dieän daây £ 50</v>
          </cell>
          <cell r="C163" t="str">
            <v>V.trí</v>
          </cell>
          <cell r="D163">
            <v>75046</v>
          </cell>
          <cell r="E163">
            <v>78346</v>
          </cell>
          <cell r="G163" t="str">
            <v>06.5011</v>
          </cell>
        </row>
        <row r="164">
          <cell r="A164" t="str">
            <v>06.5012</v>
          </cell>
          <cell r="B164" t="str">
            <v>Vöôït ñöôøng daây haï theá tieát dieän daây £ 95</v>
          </cell>
          <cell r="C164" t="str">
            <v>V.trí</v>
          </cell>
          <cell r="D164">
            <v>104623</v>
          </cell>
          <cell r="E164">
            <v>90887</v>
          </cell>
          <cell r="G164" t="str">
            <v>06.5012</v>
          </cell>
        </row>
        <row r="165">
          <cell r="A165" t="str">
            <v>06.5013</v>
          </cell>
          <cell r="B165" t="str">
            <v>Vöôït ñöôøng daây haï theá tieát dieän daây £ 150</v>
          </cell>
          <cell r="C165" t="str">
            <v>V.trí</v>
          </cell>
          <cell r="D165">
            <v>134516</v>
          </cell>
          <cell r="E165">
            <v>127737</v>
          </cell>
          <cell r="G165" t="str">
            <v>06.5013</v>
          </cell>
        </row>
        <row r="166">
          <cell r="A166" t="str">
            <v>06.5014</v>
          </cell>
          <cell r="B166" t="str">
            <v>Vöôït ñöôøng daây haï theá tieát dieän daây £ 240</v>
          </cell>
          <cell r="C166" t="str">
            <v>V.trí</v>
          </cell>
          <cell r="D166">
            <v>163462</v>
          </cell>
          <cell r="E166">
            <v>143530</v>
          </cell>
          <cell r="G166" t="str">
            <v>06.5014</v>
          </cell>
        </row>
        <row r="167">
          <cell r="A167" t="str">
            <v>06.5015</v>
          </cell>
          <cell r="B167" t="str">
            <v>Vöôït ñöôøng daây haï theá tieát dieän daây &gt; 240</v>
          </cell>
          <cell r="C167" t="str">
            <v>V.trí</v>
          </cell>
          <cell r="D167">
            <v>223247</v>
          </cell>
          <cell r="E167">
            <v>226521</v>
          </cell>
          <cell r="G167" t="str">
            <v>06.5015</v>
          </cell>
        </row>
        <row r="168">
          <cell r="A168" t="str">
            <v>06.5021</v>
          </cell>
          <cell r="B168" t="str">
            <v>Vöôït ñöôøng daây 35 kV tieát dieän daây £ 50</v>
          </cell>
          <cell r="C168" t="str">
            <v>V.trí</v>
          </cell>
          <cell r="D168">
            <v>119570</v>
          </cell>
          <cell r="E168">
            <v>105596</v>
          </cell>
          <cell r="G168" t="str">
            <v>06.5021</v>
          </cell>
        </row>
        <row r="169">
          <cell r="A169" t="str">
            <v>06.5022</v>
          </cell>
          <cell r="B169" t="str">
            <v>Vöôït ñöôøng daây 35 kV tieát dieän daây £ 95</v>
          </cell>
          <cell r="C169" t="str">
            <v>V.trí</v>
          </cell>
          <cell r="D169">
            <v>149462</v>
          </cell>
          <cell r="E169">
            <v>121544</v>
          </cell>
          <cell r="G169" t="str">
            <v>06.5022</v>
          </cell>
        </row>
        <row r="170">
          <cell r="A170" t="str">
            <v>06.5023</v>
          </cell>
          <cell r="B170" t="str">
            <v>Vöôït ñöôøng daây 35 kV tieát dieän daây £ 150</v>
          </cell>
          <cell r="C170" t="str">
            <v>V.trí</v>
          </cell>
          <cell r="D170">
            <v>178093</v>
          </cell>
          <cell r="E170">
            <v>148495</v>
          </cell>
          <cell r="G170" t="str">
            <v>06.5023</v>
          </cell>
        </row>
        <row r="171">
          <cell r="A171" t="str">
            <v>06.5024</v>
          </cell>
          <cell r="B171" t="str">
            <v>Vöôït ñöôøng daây 35 kV tieát dieän daây £ 240</v>
          </cell>
          <cell r="C171" t="str">
            <v>V.trí</v>
          </cell>
          <cell r="D171">
            <v>224193</v>
          </cell>
          <cell r="E171">
            <v>166446</v>
          </cell>
          <cell r="G171" t="str">
            <v>06.5024</v>
          </cell>
        </row>
        <row r="172">
          <cell r="A172" t="str">
            <v>06.5025</v>
          </cell>
          <cell r="B172" t="str">
            <v>Vöôït ñöôøng daây 35 kV tieát dieän daây &gt; 240</v>
          </cell>
          <cell r="C172" t="str">
            <v>V.trí</v>
          </cell>
          <cell r="D172">
            <v>313870</v>
          </cell>
          <cell r="E172">
            <v>290467</v>
          </cell>
          <cell r="G172" t="str">
            <v>06.5025</v>
          </cell>
        </row>
        <row r="173">
          <cell r="A173" t="str">
            <v>06.5061</v>
          </cell>
          <cell r="B173" t="str">
            <v>Vöôït ñöôøng giao thoâng &gt;10m tieát dieän daây £ 50</v>
          </cell>
          <cell r="C173" t="str">
            <v>V.trí</v>
          </cell>
          <cell r="D173">
            <v>177462</v>
          </cell>
          <cell r="E173">
            <v>143995</v>
          </cell>
          <cell r="G173" t="str">
            <v>06.5061</v>
          </cell>
        </row>
        <row r="174">
          <cell r="A174" t="str">
            <v>06.5062</v>
          </cell>
          <cell r="B174" t="str">
            <v>Vöôït ñöôøng giao thoâng &gt;10m tieát dieän daây £ 95</v>
          </cell>
          <cell r="C174" t="str">
            <v>V.trí</v>
          </cell>
          <cell r="D174">
            <v>252130</v>
          </cell>
          <cell r="E174">
            <v>190445</v>
          </cell>
          <cell r="G174" t="str">
            <v>06.5062</v>
          </cell>
        </row>
        <row r="175">
          <cell r="A175" t="str">
            <v>06.5063</v>
          </cell>
          <cell r="B175" t="str">
            <v>Vöôït ñöôøng giao thoâng &gt;10m tieát dieän daây £ 150</v>
          </cell>
          <cell r="C175" t="str">
            <v>V.trí</v>
          </cell>
          <cell r="D175">
            <v>328186</v>
          </cell>
          <cell r="E175">
            <v>233024</v>
          </cell>
          <cell r="G175" t="str">
            <v>06.5063</v>
          </cell>
        </row>
        <row r="176">
          <cell r="A176" t="str">
            <v>06.5064</v>
          </cell>
          <cell r="B176" t="str">
            <v>Vöôït ñöôøng giao thoâng &gt;10m tieát dieän daây £ 240</v>
          </cell>
          <cell r="C176" t="str">
            <v>V.trí</v>
          </cell>
          <cell r="D176">
            <v>285447</v>
          </cell>
          <cell r="E176">
            <v>261823</v>
          </cell>
          <cell r="G176" t="str">
            <v>06.5064</v>
          </cell>
        </row>
        <row r="177">
          <cell r="A177" t="str">
            <v>06.5065</v>
          </cell>
          <cell r="B177" t="str">
            <v>Vöôït ñöôøng giao thoâng &gt;10m tieát dieän daây &gt; 240</v>
          </cell>
          <cell r="C177" t="str">
            <v>V.trí</v>
          </cell>
          <cell r="D177">
            <v>532260</v>
          </cell>
          <cell r="E177">
            <v>410618</v>
          </cell>
          <cell r="G177" t="str">
            <v>06.5065</v>
          </cell>
        </row>
        <row r="178">
          <cell r="A178" t="str">
            <v>06.5071</v>
          </cell>
          <cell r="B178" t="str">
            <v>Vò trí beû goùc tieát dieän daây £ 50</v>
          </cell>
          <cell r="C178" t="str">
            <v>V.trí</v>
          </cell>
          <cell r="E178">
            <v>30697</v>
          </cell>
          <cell r="G178" t="str">
            <v>06.5071</v>
          </cell>
        </row>
        <row r="179">
          <cell r="A179" t="str">
            <v>06.5072</v>
          </cell>
          <cell r="B179" t="str">
            <v>Vò trí beû goùc tieát dieän daây £ 95</v>
          </cell>
          <cell r="C179" t="str">
            <v>V.trí</v>
          </cell>
          <cell r="E179">
            <v>61933</v>
          </cell>
          <cell r="G179" t="str">
            <v>06.5072</v>
          </cell>
        </row>
        <row r="180">
          <cell r="A180" t="str">
            <v>06.5073</v>
          </cell>
          <cell r="B180" t="str">
            <v>Vò trí beû goùc tieát dieän daây £ 150</v>
          </cell>
          <cell r="C180" t="str">
            <v>V.trí</v>
          </cell>
          <cell r="E180">
            <v>78346</v>
          </cell>
          <cell r="G180" t="str">
            <v>06.5073</v>
          </cell>
        </row>
        <row r="181">
          <cell r="A181" t="str">
            <v>06.5074</v>
          </cell>
          <cell r="B181" t="str">
            <v>Vò trí beû goùc tieát dieän daây £ 240</v>
          </cell>
          <cell r="C181" t="str">
            <v>V.trí</v>
          </cell>
          <cell r="E181">
            <v>80978</v>
          </cell>
          <cell r="G181" t="str">
            <v>06.5074</v>
          </cell>
        </row>
        <row r="182">
          <cell r="A182" t="str">
            <v>06.5075</v>
          </cell>
          <cell r="B182" t="str">
            <v>Vò trí beû goùc tieát dieän daây &gt; 240</v>
          </cell>
          <cell r="C182" t="str">
            <v>V.trí</v>
          </cell>
          <cell r="E182">
            <v>150188</v>
          </cell>
          <cell r="G182" t="str">
            <v>06.5075</v>
          </cell>
        </row>
        <row r="183">
          <cell r="A183" t="str">
            <v>06.6104</v>
          </cell>
          <cell r="B183" t="str">
            <v>Raûi caêng daây laáy ñoä voõng daây AC-50mm 2</v>
          </cell>
          <cell r="C183" t="str">
            <v>km</v>
          </cell>
          <cell r="D183">
            <v>212189</v>
          </cell>
          <cell r="E183">
            <v>261153</v>
          </cell>
          <cell r="G183" t="str">
            <v>06.6104</v>
          </cell>
        </row>
        <row r="184">
          <cell r="A184" t="str">
            <v>06.6105</v>
          </cell>
          <cell r="B184" t="str">
            <v>Raûi caêng daây laáy ñoä voõng daây AC-70mm 2</v>
          </cell>
          <cell r="C184" t="str">
            <v>km</v>
          </cell>
          <cell r="D184">
            <v>212789</v>
          </cell>
          <cell r="E184">
            <v>348908</v>
          </cell>
          <cell r="G184" t="str">
            <v>06.6105</v>
          </cell>
        </row>
        <row r="185">
          <cell r="A185" t="str">
            <v>06.6106</v>
          </cell>
          <cell r="B185" t="str">
            <v>Raûi caêng daây laáy ñoä voõng daây AC-95mm 2</v>
          </cell>
          <cell r="C185" t="str">
            <v>km</v>
          </cell>
          <cell r="D185">
            <v>212789</v>
          </cell>
          <cell r="E185">
            <v>475178</v>
          </cell>
          <cell r="G185" t="str">
            <v>06.6106</v>
          </cell>
        </row>
        <row r="186">
          <cell r="A186" t="str">
            <v>06.6107</v>
          </cell>
          <cell r="B186" t="str">
            <v>Raûi caêng daây laáy ñoä voõng daây AC-120mm 2</v>
          </cell>
          <cell r="C186" t="str">
            <v>km</v>
          </cell>
          <cell r="D186">
            <v>298671</v>
          </cell>
          <cell r="E186">
            <v>588862</v>
          </cell>
          <cell r="G186" t="str">
            <v>06.6107</v>
          </cell>
        </row>
        <row r="187">
          <cell r="A187" t="str">
            <v>06.6108</v>
          </cell>
          <cell r="B187" t="str">
            <v>Raûi caêng daây laáy ñoä voõng daây AC-150mm 2</v>
          </cell>
          <cell r="C187" t="str">
            <v>km</v>
          </cell>
          <cell r="D187">
            <v>298671</v>
          </cell>
          <cell r="E187">
            <v>712550</v>
          </cell>
          <cell r="G187" t="str">
            <v>06.6108</v>
          </cell>
        </row>
        <row r="188">
          <cell r="A188" t="str">
            <v>06.6109</v>
          </cell>
          <cell r="B188" t="str">
            <v>Raûi caêng daây laáy ñoä voõng daây AC-185mm 2</v>
          </cell>
          <cell r="C188" t="str">
            <v>km</v>
          </cell>
          <cell r="D188">
            <v>298671</v>
          </cell>
          <cell r="E188">
            <v>840899</v>
          </cell>
          <cell r="G188" t="str">
            <v>06.6109</v>
          </cell>
        </row>
        <row r="189">
          <cell r="A189" t="str">
            <v>06.6110</v>
          </cell>
          <cell r="B189" t="str">
            <v>Raûi caêng daây laáy ñoä voõng daây AC-240mm 2</v>
          </cell>
          <cell r="C189" t="str">
            <v>km</v>
          </cell>
          <cell r="D189">
            <v>298671</v>
          </cell>
          <cell r="E189">
            <v>924792</v>
          </cell>
          <cell r="G189" t="str">
            <v>06.6110</v>
          </cell>
        </row>
        <row r="190">
          <cell r="A190" t="str">
            <v>06.6124</v>
          </cell>
          <cell r="B190" t="str">
            <v>Raûi caêng daây laáy ñoä voõng daây A-50mm 2</v>
          </cell>
          <cell r="C190" t="str">
            <v>km</v>
          </cell>
          <cell r="D190">
            <v>212189</v>
          </cell>
          <cell r="E190">
            <v>208012</v>
          </cell>
          <cell r="G190" t="str">
            <v>06.6124</v>
          </cell>
        </row>
        <row r="191">
          <cell r="A191" t="str">
            <v>06.6125</v>
          </cell>
          <cell r="B191" t="str">
            <v>Raûi caêng daây laáy ñoä voõng daây A-70mm 2</v>
          </cell>
          <cell r="C191" t="str">
            <v>km</v>
          </cell>
          <cell r="D191">
            <v>212189</v>
          </cell>
          <cell r="E191">
            <v>279516</v>
          </cell>
          <cell r="G191" t="str">
            <v>06.6125</v>
          </cell>
        </row>
        <row r="192">
          <cell r="A192" t="str">
            <v>06.6126</v>
          </cell>
          <cell r="B192" t="str">
            <v>Raûi caêng daây laáy ñoä voõng daây A-95mm 2</v>
          </cell>
          <cell r="C192" t="str">
            <v>km</v>
          </cell>
          <cell r="D192">
            <v>212189</v>
          </cell>
          <cell r="E192">
            <v>381897</v>
          </cell>
          <cell r="G192" t="str">
            <v>06.6126</v>
          </cell>
        </row>
        <row r="193">
          <cell r="A193" t="str">
            <v>06.6133</v>
          </cell>
          <cell r="B193" t="str">
            <v>Raûi caêng daây choáng seùt tieát dieän 35mm 2</v>
          </cell>
          <cell r="C193" t="str">
            <v>km</v>
          </cell>
          <cell r="D193">
            <v>211789</v>
          </cell>
          <cell r="E193">
            <v>365484</v>
          </cell>
          <cell r="G193" t="str">
            <v>06.6133</v>
          </cell>
        </row>
        <row r="194">
          <cell r="A194" t="str">
            <v>06.6134</v>
          </cell>
          <cell r="B194" t="str">
            <v>Raûi caêng daây choáng seùt tieát dieän 50mm 2</v>
          </cell>
          <cell r="C194" t="str">
            <v>km</v>
          </cell>
          <cell r="D194">
            <v>211789</v>
          </cell>
          <cell r="E194">
            <v>409524</v>
          </cell>
          <cell r="G194" t="str">
            <v>06.6134</v>
          </cell>
        </row>
        <row r="195">
          <cell r="A195" t="str">
            <v>06.6135</v>
          </cell>
          <cell r="B195" t="str">
            <v>Raûi caêng daây choáng seùt tieát dieän 70mm 2</v>
          </cell>
          <cell r="C195" t="str">
            <v>km</v>
          </cell>
          <cell r="D195">
            <v>211789</v>
          </cell>
          <cell r="E195">
            <v>491429</v>
          </cell>
          <cell r="G195" t="str">
            <v>06.6135</v>
          </cell>
        </row>
        <row r="197">
          <cell r="A197" t="str">
            <v>02.1211</v>
          </cell>
          <cell r="B197" t="str">
            <v>Vaän chuyeån xi maêng cöï ly 100m</v>
          </cell>
          <cell r="C197" t="str">
            <v>taán</v>
          </cell>
          <cell r="E197">
            <v>71813</v>
          </cell>
        </row>
        <row r="198">
          <cell r="A198" t="str">
            <v>02.1212</v>
          </cell>
          <cell r="B198" t="str">
            <v>Vaän chuyeån xi maêng cöï ly 300m</v>
          </cell>
          <cell r="C198" t="str">
            <v>taán</v>
          </cell>
          <cell r="E198">
            <v>67545</v>
          </cell>
        </row>
        <row r="199">
          <cell r="A199" t="str">
            <v>02.1213</v>
          </cell>
          <cell r="B199" t="str">
            <v>Vaän chuyeån xi maêng cöï ly 500m</v>
          </cell>
          <cell r="C199" t="str">
            <v>taán</v>
          </cell>
          <cell r="E199">
            <v>66956</v>
          </cell>
        </row>
        <row r="200">
          <cell r="A200" t="str">
            <v>02.1214</v>
          </cell>
          <cell r="B200" t="str">
            <v>Vaän chuyeån xi maêng cöï ly &gt;500m</v>
          </cell>
          <cell r="C200" t="str">
            <v>taán</v>
          </cell>
          <cell r="E200">
            <v>66515</v>
          </cell>
        </row>
        <row r="202">
          <cell r="A202" t="str">
            <v>02.1241</v>
          </cell>
          <cell r="B202" t="str">
            <v xml:space="preserve">Vaän chuyeån ñaù </v>
          </cell>
          <cell r="C202" t="str">
            <v>m3</v>
          </cell>
          <cell r="E202">
            <v>70635</v>
          </cell>
        </row>
        <row r="203">
          <cell r="A203" t="str">
            <v>02.1242</v>
          </cell>
          <cell r="B203" t="str">
            <v xml:space="preserve">Vaän chuyeån ñaù </v>
          </cell>
          <cell r="C203" t="str">
            <v>m3</v>
          </cell>
          <cell r="E203">
            <v>67692</v>
          </cell>
        </row>
        <row r="204">
          <cell r="A204" t="str">
            <v>02.1243</v>
          </cell>
          <cell r="B204" t="str">
            <v xml:space="preserve">Vaän chuyeån ñaù </v>
          </cell>
          <cell r="C204" t="str">
            <v>m3</v>
          </cell>
          <cell r="E204">
            <v>67104</v>
          </cell>
        </row>
        <row r="205">
          <cell r="A205" t="str">
            <v>02.1244</v>
          </cell>
          <cell r="B205" t="str">
            <v xml:space="preserve">Vaän chuyeån ñaù </v>
          </cell>
          <cell r="C205" t="str">
            <v>m3</v>
          </cell>
          <cell r="E205">
            <v>66662</v>
          </cell>
        </row>
        <row r="207">
          <cell r="A207" t="str">
            <v>02.1231</v>
          </cell>
          <cell r="B207" t="str">
            <v>Vaän chuyeån caùt</v>
          </cell>
          <cell r="C207" t="str">
            <v>m3</v>
          </cell>
          <cell r="E207">
            <v>67251</v>
          </cell>
        </row>
        <row r="208">
          <cell r="A208" t="str">
            <v>02.1232</v>
          </cell>
          <cell r="B208" t="str">
            <v>Vaän chuyeån caùt</v>
          </cell>
          <cell r="C208" t="str">
            <v>m3</v>
          </cell>
          <cell r="E208">
            <v>64308</v>
          </cell>
        </row>
        <row r="209">
          <cell r="A209" t="str">
            <v>02.1233</v>
          </cell>
          <cell r="B209" t="str">
            <v>Vaän chuyeån caùt</v>
          </cell>
          <cell r="C209" t="str">
            <v>m3</v>
          </cell>
          <cell r="E209">
            <v>63719</v>
          </cell>
        </row>
        <row r="210">
          <cell r="A210" t="str">
            <v>02.1234</v>
          </cell>
          <cell r="B210" t="str">
            <v>Vaän chuyeån caùt</v>
          </cell>
          <cell r="C210" t="str">
            <v>m3</v>
          </cell>
          <cell r="E210">
            <v>62983</v>
          </cell>
        </row>
        <row r="212">
          <cell r="A212" t="str">
            <v>02.1351</v>
          </cell>
          <cell r="B212" t="str">
            <v>Vaän chuyeån coát theùp + bulon</v>
          </cell>
          <cell r="C212" t="str">
            <v>Taán</v>
          </cell>
          <cell r="E212">
            <v>110221</v>
          </cell>
        </row>
        <row r="213">
          <cell r="A213" t="str">
            <v>02.1352</v>
          </cell>
          <cell r="B213" t="str">
            <v>Vaän chuyeån coát theùp + bulon</v>
          </cell>
          <cell r="C213" t="str">
            <v>Taán</v>
          </cell>
          <cell r="E213">
            <v>103451</v>
          </cell>
        </row>
        <row r="214">
          <cell r="A214" t="str">
            <v>02.1353</v>
          </cell>
          <cell r="B214" t="str">
            <v>Vaän chuyeån coát theùp + bulon</v>
          </cell>
          <cell r="C214" t="str">
            <v>Taán</v>
          </cell>
          <cell r="E214">
            <v>102127</v>
          </cell>
        </row>
        <row r="215">
          <cell r="A215" t="str">
            <v>02.1354</v>
          </cell>
          <cell r="B215" t="str">
            <v>Vaän chuyeån coát theùp + bulon</v>
          </cell>
          <cell r="C215" t="str">
            <v>Taán</v>
          </cell>
          <cell r="E215">
            <v>93739</v>
          </cell>
        </row>
        <row r="217">
          <cell r="A217" t="str">
            <v>02.1331</v>
          </cell>
          <cell r="B217" t="str">
            <v>Vaän chuyeån vaùn khuoân</v>
          </cell>
          <cell r="C217" t="str">
            <v>m3</v>
          </cell>
          <cell r="E217">
            <v>57391</v>
          </cell>
        </row>
        <row r="218">
          <cell r="A218" t="str">
            <v>02.1332</v>
          </cell>
          <cell r="B218" t="str">
            <v>Vaän chuyeån vaùn khuoân</v>
          </cell>
          <cell r="C218" t="str">
            <v>m3</v>
          </cell>
          <cell r="E218">
            <v>55037</v>
          </cell>
        </row>
        <row r="219">
          <cell r="A219" t="str">
            <v>02.1333</v>
          </cell>
          <cell r="B219" t="str">
            <v>Vaän chuyeån vaùn khuoân</v>
          </cell>
          <cell r="C219" t="str">
            <v>m3</v>
          </cell>
          <cell r="E219">
            <v>54301</v>
          </cell>
        </row>
        <row r="220">
          <cell r="A220" t="str">
            <v>02.1334</v>
          </cell>
          <cell r="B220" t="str">
            <v>Vaän chuyeån vaùn khuoân</v>
          </cell>
          <cell r="C220" t="str">
            <v>m3</v>
          </cell>
          <cell r="E220">
            <v>53859</v>
          </cell>
        </row>
        <row r="222">
          <cell r="A222" t="str">
            <v>02.1321</v>
          </cell>
          <cell r="B222" t="str">
            <v>Vaän chuyeån nöôùc</v>
          </cell>
          <cell r="C222" t="str">
            <v>m3</v>
          </cell>
          <cell r="E222">
            <v>57833</v>
          </cell>
        </row>
        <row r="223">
          <cell r="A223" t="str">
            <v>02.1322</v>
          </cell>
          <cell r="B223" t="str">
            <v>Vaän chuyeån nöôùc</v>
          </cell>
          <cell r="C223" t="str">
            <v>m3</v>
          </cell>
          <cell r="E223">
            <v>56950</v>
          </cell>
        </row>
        <row r="224">
          <cell r="A224" t="str">
            <v>02.1323</v>
          </cell>
          <cell r="B224" t="str">
            <v>Vaän chuyeån nöôùc</v>
          </cell>
          <cell r="C224" t="str">
            <v>m3</v>
          </cell>
          <cell r="E224">
            <v>49592</v>
          </cell>
        </row>
        <row r="225">
          <cell r="A225" t="str">
            <v>02.1324</v>
          </cell>
          <cell r="B225" t="str">
            <v>Vaän chuyeån nöôùc</v>
          </cell>
          <cell r="C225" t="str">
            <v>m3</v>
          </cell>
          <cell r="E225">
            <v>48415</v>
          </cell>
        </row>
        <row r="227">
          <cell r="A227" t="str">
            <v>02.1391</v>
          </cell>
          <cell r="B227" t="str">
            <v>Vaän chuyeån coïc tre</v>
          </cell>
          <cell r="C227" t="str">
            <v>coïc</v>
          </cell>
          <cell r="E227">
            <v>17953</v>
          </cell>
        </row>
        <row r="228">
          <cell r="A228" t="str">
            <v>02.1392</v>
          </cell>
          <cell r="B228" t="str">
            <v>Vaän chuyeån coïc tre</v>
          </cell>
          <cell r="C228" t="str">
            <v>coïc</v>
          </cell>
          <cell r="E228">
            <v>16923</v>
          </cell>
        </row>
        <row r="229">
          <cell r="A229" t="str">
            <v>02.1393</v>
          </cell>
          <cell r="B229" t="str">
            <v>Vaän chuyeån coïc tre</v>
          </cell>
          <cell r="C229" t="str">
            <v>coïc</v>
          </cell>
          <cell r="E229">
            <v>16776</v>
          </cell>
        </row>
        <row r="230">
          <cell r="A230" t="str">
            <v>02.1394</v>
          </cell>
          <cell r="B230" t="str">
            <v>Vaän chuyeån coïc tre</v>
          </cell>
          <cell r="C230" t="str">
            <v>coïc</v>
          </cell>
          <cell r="E230">
            <v>16629</v>
          </cell>
        </row>
        <row r="232">
          <cell r="A232" t="str">
            <v>02.1391</v>
          </cell>
          <cell r="B232" t="str">
            <v>Vaän chuyeån coùt eùp</v>
          </cell>
          <cell r="C232" t="str">
            <v>taám</v>
          </cell>
          <cell r="E232">
            <v>17953</v>
          </cell>
        </row>
        <row r="233">
          <cell r="A233" t="str">
            <v>02.1392</v>
          </cell>
          <cell r="B233" t="str">
            <v>Vaän chuyeån coùt eùp</v>
          </cell>
          <cell r="C233" t="str">
            <v>taám</v>
          </cell>
          <cell r="E233">
            <v>16923</v>
          </cell>
        </row>
        <row r="234">
          <cell r="A234" t="str">
            <v>02.1393</v>
          </cell>
          <cell r="B234" t="str">
            <v>Vaän chuyeån coùt eùp</v>
          </cell>
          <cell r="C234" t="str">
            <v>taám</v>
          </cell>
          <cell r="E234">
            <v>16776</v>
          </cell>
        </row>
        <row r="235">
          <cell r="A235" t="str">
            <v>02.1394</v>
          </cell>
          <cell r="B235" t="str">
            <v>Vaän chuyeån coùt eùp</v>
          </cell>
          <cell r="C235" t="str">
            <v>taám</v>
          </cell>
          <cell r="E235">
            <v>16629</v>
          </cell>
        </row>
        <row r="237">
          <cell r="A237" t="str">
            <v>02.1481</v>
          </cell>
          <cell r="B237" t="str">
            <v>Vaän chuyeån DCTC</v>
          </cell>
          <cell r="C237" t="str">
            <v>Taán</v>
          </cell>
          <cell r="E237">
            <v>91090</v>
          </cell>
        </row>
        <row r="238">
          <cell r="A238" t="str">
            <v>02.1482</v>
          </cell>
          <cell r="B238" t="str">
            <v>Vaän chuyeån DCTC</v>
          </cell>
          <cell r="C238" t="str">
            <v>Taán</v>
          </cell>
          <cell r="E238">
            <v>84615</v>
          </cell>
        </row>
        <row r="239">
          <cell r="A239" t="str">
            <v>02.1483</v>
          </cell>
          <cell r="B239" t="str">
            <v>Vaän chuyeån DCTC</v>
          </cell>
          <cell r="C239" t="str">
            <v>Taán</v>
          </cell>
          <cell r="E239">
            <v>83585</v>
          </cell>
        </row>
        <row r="240">
          <cell r="A240" t="str">
            <v>02.1484</v>
          </cell>
          <cell r="B240" t="str">
            <v>Vaän chuyeån DCTC</v>
          </cell>
          <cell r="C240" t="str">
            <v>Taán</v>
          </cell>
          <cell r="E240">
            <v>82849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 TKmoi"/>
      <sheetName val="A6,MAY"/>
      <sheetName val="VL"/>
      <sheetName val="PTDG"/>
      <sheetName val="DTCT"/>
      <sheetName val="TH1"/>
      <sheetName val="TH2"/>
      <sheetName val="CPTK"/>
      <sheetName val="CPK"/>
      <sheetName val="Module1"/>
      <sheetName val="XL4Poppy"/>
      <sheetName val="gvl"/>
    </sheetNames>
    <sheetDataSet>
      <sheetData sheetId="0" refreshError="1"/>
      <sheetData sheetId="1" refreshError="1">
        <row r="10">
          <cell r="C10">
            <v>12089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G (2)"/>
      <sheetName val="Loading"/>
      <sheetName val="Check A"/>
      <sheetName val="CheckB"/>
      <sheetName val="Check C"/>
      <sheetName val="Check D"/>
      <sheetName val="Check F"/>
      <sheetName val="Check G"/>
      <sheetName val="Check E"/>
      <sheetName val="XXXXXXXX"/>
      <sheetName val="XL4Poppy (2)"/>
      <sheetName val="XL4Poppy"/>
      <sheetName val="B-B"/>
      <sheetName val="Analysis"/>
      <sheetName val="C-C"/>
      <sheetName val="D-D"/>
      <sheetName val="Don gia"/>
      <sheetName val="chitimc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5.BANG I"/>
      <sheetName val="NSL"/>
      <sheetName val="DG"/>
      <sheetName val="Sheet3"/>
      <sheetName val="DG "/>
      <sheetName val="Sheet1"/>
      <sheetName val="tra-vat-li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LHT"/>
      <sheetName val="THKP"/>
      <sheetName val="KL XL2000"/>
      <sheetName val="KLXL2001"/>
      <sheetName val="THKP2001"/>
      <sheetName val="KLphanbo"/>
      <sheetName val="Chiet tinh"/>
      <sheetName val="XL4Poppy"/>
      <sheetName val="Van chuyen"/>
      <sheetName val="THKP (2)"/>
      <sheetName val="T.Bi"/>
      <sheetName val="Thiet ke"/>
      <sheetName val="Sheet2"/>
      <sheetName val="Sheet1"/>
      <sheetName val="CT"/>
      <sheetName val="K.luong"/>
      <sheetName val="Sheet4"/>
      <sheetName val="Sheet3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PIPE-03E"/>
      <sheetName val="BC_KKTSCD"/>
      <sheetName val="Chitiet"/>
      <sheetName val="Sheet2 (2)"/>
      <sheetName val="Mau_BC_KKTSCD"/>
      <sheetName val="Chi tiet - Dv lap"/>
      <sheetName val="TH KHTC"/>
      <sheetName val="000"/>
      <sheetName val="00000000"/>
      <sheetName val="MD"/>
      <sheetName val="ND"/>
      <sheetName val="CONG"/>
      <sheetName val="DGCT"/>
      <sheetName val="Dong Dau"/>
      <sheetName val="Dong Dau (2)"/>
      <sheetName val="Sau dong"/>
      <sheetName val="Ma xa"/>
      <sheetName val="My dinh"/>
      <sheetName val="Tong cong"/>
      <sheetName val="Sheet5"/>
      <sheetName val="1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Chart2"/>
      <sheetName val="Phu luc"/>
      <sheetName val="Gia trÞ"/>
      <sheetName val="TH"/>
      <sheetName val="KH 2003 (moi max)"/>
      <sheetName val="116(300)"/>
      <sheetName val="116(200)"/>
      <sheetName val="116(150)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Tong hop"/>
      <sheetName val="KL tong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VL"/>
      <sheetName val="CTXD"/>
      <sheetName val=".."/>
      <sheetName val="CTDN"/>
      <sheetName val="san vuon"/>
      <sheetName val="khu phu tro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be tong"/>
      <sheetName val="Thep"/>
      <sheetName val="Tong hop thep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01"/>
      <sheetName val="02"/>
      <sheetName val="03"/>
      <sheetName val="04"/>
      <sheetName val="05"/>
      <sheetName val="Sheet18"/>
      <sheetName val="Sheet19"/>
      <sheetName val="Sheet20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d viaK0-T6"/>
      <sheetName val="cdvia T6-Tc24"/>
      <sheetName val="cdvia Tc24-T46"/>
      <sheetName val="cdbtnL2ko-k0+361"/>
      <sheetName val="cd btnL2k0+361-T19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clvl"/>
      <sheetName val="Chenh lech"/>
      <sheetName val="Kinh phí"/>
      <sheetName val="XN79"/>
      <sheetName val="CTMT"/>
    </sheetNames>
    <definedNames>
      <definedName name="DataFilter"/>
      <definedName name="DataSort"/>
      <definedName name="GoBack" sheetId="13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DG "/>
    </sheetNames>
    <sheetDataSet>
      <sheetData sheetId="0" refreshError="1"/>
      <sheetData sheetId="1" refreshError="1"/>
      <sheetData sheetId="2" refreshError="1">
        <row r="9">
          <cell r="N9">
            <v>118182</v>
          </cell>
        </row>
        <row r="38">
          <cell r="N38">
            <v>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GIA CUOC"/>
      <sheetName val="VUA XM"/>
      <sheetName val="VUA BT"/>
      <sheetName val="Sheet10"/>
      <sheetName val="NC"/>
      <sheetName val="XM"/>
      <sheetName val="CUOC VC"/>
      <sheetName val="DG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Sheet1"/>
      <sheetName val="XXXXXXXX"/>
      <sheetName val="XL4Poppy"/>
      <sheetName val="XL4Test5"/>
      <sheetName val="Tai khoan"/>
      <sheetName val="g-vl"/>
      <sheetName val="PTDGAntoanGT"/>
      <sheetName val="Cau - Cong"/>
      <sheetName val="vt"/>
      <sheetName val="Solieu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tdt"/>
      <sheetName val="thcpk"/>
      <sheetName val="dtxl"/>
      <sheetName val="tntdia"/>
      <sheetName val="th"/>
      <sheetName val="thxlk"/>
      <sheetName val="vldien"/>
      <sheetName val="ctivldi"/>
      <sheetName val="cticot"/>
      <sheetName val="vcdd"/>
      <sheetName val="chenh"/>
      <sheetName val="vc"/>
      <sheetName val="ciment"/>
      <sheetName val="cpdbu"/>
      <sheetName val="kl"/>
      <sheetName val="dd"/>
      <sheetName val="vlchi"/>
      <sheetName val="klvldien"/>
      <sheetName val="culi 2"/>
      <sheetName val="culi"/>
      <sheetName val="dg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an cong"/>
      <sheetName val="phu cap"/>
      <sheetName val="vlminh hoa"/>
      <sheetName val="DG "/>
      <sheetName val="NLV"/>
      <sheetName val="Ncong nhan"/>
      <sheetName val="Ha tang"/>
      <sheetName val="Bangthkp"/>
      <sheetName val="THKP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L4Poppy"/>
      <sheetName val="Congty"/>
      <sheetName val="VPPN"/>
      <sheetName val="XN74"/>
      <sheetName val="XN54"/>
      <sheetName val="XN33"/>
      <sheetName val="NK96"/>
      <sheetName val="XL4Test5"/>
      <sheetName val="DTDD"/>
      <sheetName val="DTCD"/>
      <sheetName val="DTDD2003"/>
      <sheetName val="Vayvon"/>
      <sheetName val="Tdien"/>
      <sheetName val="DTSON ADB3-N2"/>
      <sheetName val="BangketienvayNHS"/>
      <sheetName val="XXXXXXXX"/>
      <sheetName val="tong hop"/>
      <sheetName val="phan tich DG"/>
      <sheetName val="gia vat lieu"/>
      <sheetName val="gia xe may"/>
      <sheetName val="gia nhan cong"/>
      <sheetName val="Tan an(8)"/>
      <sheetName val="QK(DP1) (7)"/>
      <sheetName val="cat®o luong(DP1) (6)"/>
      <sheetName val="cat tam quang(DP1) (5)"/>
      <sheetName val="cat Na dan(DP1) (4)"/>
      <sheetName val="cat Na dan(DP1) (2)"/>
      <sheetName val="catdo luong(496)"/>
      <sheetName val="catNam Dan (DELTA) (3)"/>
      <sheetName val="cat hoa binh (DP2) (2)"/>
      <sheetName val="cat hoa binh (DP1)"/>
      <sheetName val="cat song dinh (4)"/>
      <sheetName val="C47-456"/>
      <sheetName val="C46"/>
      <sheetName val="C47-PII"/>
      <sheetName val="Lop 6 lan 1"/>
      <sheetName val="lop1 lan2"/>
      <sheetName val="lop2 lan2 "/>
      <sheetName val="lop3 lan2 "/>
      <sheetName val="lop4 lan2 "/>
      <sheetName val="lop5 lan2 "/>
      <sheetName val="lop6 lan2 "/>
      <sheetName val="lop7 lan2 "/>
      <sheetName val="lop8 lan2 "/>
      <sheetName val="lop9 lan2"/>
      <sheetName val="lop10 lan2 "/>
      <sheetName val="tuong"/>
      <sheetName val="general"/>
      <sheetName val="Main Road"/>
      <sheetName val="KL_Dat-Da"/>
      <sheetName val="N1"/>
      <sheetName val="Km0_Km8"/>
      <sheetName val="Km27_Km40+390"/>
      <sheetName val="Km8_Km17"/>
      <sheetName val="Tackcoat"/>
      <sheetName val="Primecoat"/>
      <sheetName val="Km17_Km27"/>
      <sheetName val="Nconõþnhan"/>
      <sheetName val="gVL"/>
      <sheetName val="2J.01"/>
      <sheetName val="2J.02"/>
      <sheetName val="2J.03"/>
      <sheetName val="2J.04"/>
      <sheetName val="2J.05"/>
      <sheetName val="2J.06"/>
      <sheetName val="2J.07"/>
      <sheetName val="2J.10"/>
      <sheetName val="2J.11"/>
      <sheetName val="2J.12"/>
      <sheetName val="2J.13"/>
      <sheetName val="muc.luc"/>
      <sheetName val="123"/>
      <sheetName val="00000000"/>
      <sheetName val="B-n (2)"/>
      <sheetName val="B-n"/>
      <sheetName val="B-ky2"/>
      <sheetName val="TH-t toan"/>
      <sheetName val="T-toan"/>
      <sheetName val="TH"/>
      <sheetName val="B-ky"/>
      <sheetName val="bia"/>
      <sheetName val="th-dn"/>
      <sheetName val="XD"/>
      <sheetName val="dien"/>
      <sheetName val="nuoc"/>
      <sheetName val="Tbi"/>
      <sheetName val="Ctiet-XD"/>
      <sheetName val="Ctiet-dien"/>
      <sheetName val="Ctiet-nuoc"/>
      <sheetName val="Vtu-XD"/>
      <sheetName val="Vtu-dien"/>
      <sheetName val="Vtu-nuoc"/>
      <sheetName val="Tro giup"/>
      <sheetName val="1"/>
      <sheetName val="2"/>
      <sheetName val="1-11"/>
      <sheetName val="2-11"/>
      <sheetName val="1-12"/>
      <sheetName val="1-1"/>
      <sheetName val="2-12"/>
      <sheetName val="2-1"/>
      <sheetName val="1-2"/>
      <sheetName val="2-2"/>
      <sheetName val="1-3"/>
      <sheetName val="8thangdaunam"/>
      <sheetName val="KDT6"/>
      <sheetName val="KDT7"/>
      <sheetName val="KDT8"/>
      <sheetName val="KDT9"/>
      <sheetName val="KDT10"/>
      <sheetName val="XLT7"/>
      <sheetName val="XL8"/>
      <sheetName val="XLT9"/>
      <sheetName val="XLT6"/>
      <sheetName val="BANGTRA"/>
      <sheetName val="chi tieu HV"/>
      <sheetName val="sx-tt-tk"/>
      <sheetName val="tsach &amp; thu hoi"/>
      <sheetName val="KK than ton   (2)"/>
      <sheetName val="KK than ton   (3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 (2)"/>
      <sheetName val="XNGBQI-05 (3)"/>
      <sheetName val="XNGBQII-05 (2)"/>
      <sheetName val="XNGBQII-05 (3)"/>
      <sheetName val="XNGBQIII-05"/>
      <sheetName val="XNGBQII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00000001"/>
      <sheetName val="XNGBQII-05"/>
      <sheetName val="XNGBQII-05 (02)"/>
      <sheetName val="Shdet3"/>
      <sheetName val="g)a vat lieu"/>
      <sheetName val="gia nhan cmng"/>
      <sheetName val="!-3"/>
      <sheetName val="QK(@P1) (7)"/>
      <sheetName val="vlmifh hoa"/>
      <sheetName val="catNam Daf (DELTA) (3)"/>
      <sheetName val="Sheet0"/>
      <sheetName val="dtxl"/>
      <sheetName val="T2"/>
      <sheetName val="T3"/>
      <sheetName val="T4"/>
      <sheetName val="T5"/>
      <sheetName val="THop"/>
      <sheetName val="THKD"/>
      <sheetName val="10000000"/>
      <sheetName val="20000000"/>
      <sheetName val="30000000"/>
      <sheetName val="40000000"/>
      <sheetName val="TT 9T - 2003"/>
      <sheetName val="TT QIII-2003"/>
      <sheetName val="TT QII-2003"/>
      <sheetName val="TT QI-2003"/>
      <sheetName val="Char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n"/>
      <sheetName val="mat"/>
      <sheetName val="atgt"/>
      <sheetName val="cong"/>
      <sheetName val="vua"/>
      <sheetName val="gVL"/>
      <sheetName val="dtoan"/>
      <sheetName val="dap (2)"/>
      <sheetName val="dtct"/>
      <sheetName val="t-dtoan"/>
      <sheetName val="bth-kphi"/>
      <sheetName val="gpmb"/>
      <sheetName val="khaitoan-9m"/>
      <sheetName val="khaitoan-12m"/>
      <sheetName val="dtoan -ctiet"/>
      <sheetName val="dt-kphi-iso-tong"/>
      <sheetName val="dt-kphi-iso-cti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0">
          <cell r="Q60">
            <v>1590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-thl"/>
      <sheetName val="thkp"/>
      <sheetName val="gvl"/>
      <sheetName val="Sheet11"/>
      <sheetName val="Sheet12"/>
      <sheetName val="Sheet13"/>
      <sheetName val="Sheet14"/>
      <sheetName val="Sheet15"/>
      <sheetName val="Sheet16"/>
      <sheetName val="nhan cong"/>
    </sheetNames>
    <sheetDataSet>
      <sheetData sheetId="0" refreshError="1"/>
      <sheetData sheetId="1" refreshError="1"/>
      <sheetData sheetId="2" refreshError="1"/>
      <sheetData sheetId="3" refreshError="1">
        <row r="28">
          <cell r="N28">
            <v>1700000</v>
          </cell>
        </row>
        <row r="34">
          <cell r="N34">
            <v>27272.73</v>
          </cell>
        </row>
        <row r="35">
          <cell r="N35">
            <v>30454.55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_10KV"/>
      <sheetName val="TT_0,4KV"/>
      <sheetName val="TBA"/>
      <sheetName val="T_TBA"/>
      <sheetName val="10KV"/>
      <sheetName val="T_10KV"/>
      <sheetName val="0,4KV"/>
      <sheetName val="T_0,4KV"/>
      <sheetName val="CP_Xaylap"/>
      <sheetName val="CP_Thietbi"/>
      <sheetName val="CP_Khac"/>
      <sheetName val="Tong_DT"/>
      <sheetName val="TTVanChuyen"/>
      <sheetName val="Gia_GC_Satthep"/>
      <sheetName val="Phul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7">
          <cell r="C7">
            <v>3546</v>
          </cell>
        </row>
      </sheetData>
      <sheetData sheetId="1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ia_GC_Satthep"/>
    </sheetNames>
    <sheetDataSet>
      <sheetData sheetId="0">
        <row r="7">
          <cell r="C7">
            <v>3546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-PANEL"/>
      <sheetName val="Sheet1"/>
      <sheetName val="PANEL 南區焚化爐"/>
      <sheetName val="MV-PANEL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00000000"/>
      <sheetName val="10000000"/>
      <sheetName val="XL4Poppy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Sheet2"/>
      <sheetName val="Sheet3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0"/>
      <sheetName val="KHthuvon T3-2003"/>
      <sheetName val="KHThuvonT4-2003"/>
      <sheetName val="THuchienKHTVQI-2003"/>
      <sheetName val="KHTV Q2-2003"/>
      <sheetName val="Thang5-03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THop (2)"/>
      <sheetName val="phÐp 99"/>
      <sheetName val="Nghi s¬n (2)"/>
      <sheetName val="kt1 (2)"/>
      <sheetName val="Tiepthi"/>
      <sheetName val="THop"/>
      <sheetName val="Daotao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pc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Congty"/>
      <sheetName val="VPPN"/>
      <sheetName val="XN74"/>
      <sheetName val="XN54"/>
      <sheetName val="XN33"/>
      <sheetName val="NK96"/>
      <sheetName val="XL4Test5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Chart1"/>
      <sheetName val="Phantich"/>
      <sheetName val="Toan_DA"/>
      <sheetName val="2004"/>
      <sheetName val="2005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h-Thu"/>
      <sheetName val="Ph-Thu (2)"/>
      <sheetName val="PC (2)"/>
      <sheetName val="Chart2"/>
      <sheetName val="PC (3)"/>
      <sheetName val="5 nam (tach)"/>
      <sheetName val="5 nam (tach) (2)"/>
      <sheetName val="KH 2003"/>
      <sheetName val="tong hop"/>
      <sheetName val="phan tich DG"/>
      <sheetName val="gia vat lieu"/>
      <sheetName val="gia xe may"/>
      <sheetName val="gia nhan co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NEW_PANEL"/>
      <sheetName val="Ma"/>
      <sheetName val="Tonghop"/>
      <sheetName val="BQTPT"/>
      <sheetName val="BQTVT"/>
      <sheetName val="NKBH"/>
      <sheetName val="NH"/>
      <sheetName val="HToan"/>
      <sheetName val="NKPT"/>
      <sheetName val="QTPhoto"/>
      <sheetName val="No Photo"/>
      <sheetName val="TL"/>
      <sheetName val="NKVitinh"/>
      <sheetName val="QTVitinh"/>
      <sheetName val="No vitinh"/>
      <sheetName val="Luong"/>
      <sheetName val="XNCN"/>
      <sheetName val="tuan"/>
      <sheetName val="thang"/>
      <sheetName val="Soluong"/>
      <sheetName val="Ton"/>
      <sheetName val="BCNo"/>
      <sheetName val="Theno"/>
      <sheetName val="Sochi"/>
      <sheetName val="giaotien"/>
      <sheetName val="DGT"/>
      <sheetName val="Hagia"/>
      <sheetName val="duchai"/>
      <sheetName val="Congno2002va2003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KHOI LUONG"/>
      <sheetName val="cong40_x0016_-410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504"/>
      <sheetName val="807"/>
      <sheetName val="809"/>
      <sheetName val="801"/>
      <sheetName val="10-3"/>
      <sheetName val="CAVICO"/>
      <sheetName val="SD7"/>
      <sheetName val="ton tam"/>
      <sheetName val="Thep hinh"/>
      <sheetName val="p-in"/>
      <sheetName val="[heet30"/>
      <sheetName val=""/>
      <sheetName val="DTCT"/>
      <sheetName val="PTVT"/>
      <sheetName val="THDT"/>
      <sheetName val="THVT"/>
      <sheetName val="THGT"/>
      <sheetName val="BL01"/>
      <sheetName val="BL02"/>
      <sheetName val="BL03"/>
      <sheetName val="_x0012_2-9"/>
      <sheetName val="NK4-QT"/>
      <sheetName val="NK5-QT"/>
      <sheetName val="QT4"/>
      <sheetName val="NT2"/>
      <sheetName val="NT2+2"/>
      <sheetName val="NT3"/>
      <sheetName val="NT3+2"/>
      <sheetName val="NT4"/>
      <sheetName val="nt 02 ntien cong ty lan 03  "/>
      <sheetName val="nt 02chua ntien cong ty lan 03 "/>
      <sheetName val="nt 04 ntien cong ty lan 03  "/>
      <sheetName val="nt 04chua ntien cong ty lan 03"/>
      <sheetName val="nt 05 ntien cong ty lan 03 "/>
      <sheetName val="nt 05  chuantien cong ty lan 03"/>
      <sheetName val="DSKH HN"/>
      <sheetName val="NKY "/>
      <sheetName val="DS-TT"/>
      <sheetName val=" HN NHAP"/>
      <sheetName val="KHO HN"/>
      <sheetName val="CNO "/>
      <sheetName val="Sheet4"/>
      <sheetName val="gia vat mieu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C.TIEU"/>
      <sheetName val="KQ (2)"/>
      <sheetName val="T.HAO"/>
      <sheetName val="T.HAO (2)"/>
      <sheetName val="KHbanhang"/>
      <sheetName val="CPSX"/>
      <sheetName val="QLDN"/>
      <sheetName val="T.Luong"/>
      <sheetName val="GTCX(Zx)"/>
      <sheetName val="W200x250"/>
      <sheetName val="DH200x250"/>
      <sheetName val="RT-G200x250"/>
      <sheetName val="T-250x400"/>
      <sheetName val="K-CT200x200"/>
      <sheetName val="TL-200x300"/>
      <sheetName val="400x400"/>
      <sheetName val="300x300"/>
      <sheetName val="T.Hao(1)"/>
      <sheetName val="TSCD"/>
      <sheetName val="CPNLTT"/>
      <sheetName val="NCTT"/>
      <sheetName val="LAI VAY"/>
      <sheetName val="641"/>
      <sheetName val="642"/>
      <sheetName val="CPSXKD"/>
      <sheetName val="GTmen"/>
      <sheetName val="K.luongSP"/>
      <sheetName val="BAI.MEN-Xuong"/>
      <sheetName val="KHDT"/>
      <sheetName val="KHGT"/>
      <sheetName val="KHDT(1)"/>
      <sheetName val="KHDT(2)"/>
      <sheetName val="SX-TT"/>
      <sheetName val="CL "/>
      <sheetName val="LDTL"/>
      <sheetName val="KHSCL"/>
      <sheetName val="BAO HO LD"/>
      <sheetName val="K-HAO"/>
      <sheetName val="CPC"/>
      <sheetName val="LNKD"/>
      <sheetName val="SK"/>
      <sheetName val="TRA NO"/>
      <sheetName val="CTTH"/>
      <sheetName val="VLD"/>
      <sheetName val="VLD_Phuong"/>
      <sheetName val="BCKQSXKD"/>
      <sheetName val="CANDOIKT"/>
      <sheetName val="BC LUU CHUYEN TTE"/>
      <sheetName val="BCKQHDSX -KD"/>
      <sheetName val="BANGCDKT"/>
      <sheetName val="BCDKT (CU)"/>
      <sheetName val="BCLCT.TE"/>
      <sheetName val="KH .BANHANG"/>
      <sheetName val="GIAVONHANGBAN"/>
      <sheetName val="C.PHISANXUAT"/>
      <sheetName val="CHIPHI HOATDONG"/>
      <sheetName val="KMTAICHINHBATTHUONG"/>
      <sheetName val="Tinhtoanchitiettaichinh"/>
      <sheetName val="kehoachdautu"/>
      <sheetName val="kh Òv-10"/>
      <sheetName val="HD thu mea cat soi "/>
      <sheetName val="Mau co 02C"/>
      <sheetName val="Sheet5"/>
      <sheetName val="Sheet6"/>
      <sheetName val="Sheet7"/>
      <sheetName val="Sheet8"/>
      <sheetName val="Sheet9"/>
      <sheetName val="Sheet10"/>
      <sheetName val="Sheet13"/>
      <sheetName val="Sheet14"/>
      <sheetName val="Sheet15"/>
      <sheetName val="Sheet16"/>
      <sheetName val="Tuan B_x0000_ao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Bang PTKL/Luu"/>
      <sheetName val="CP -141"/>
      <sheetName val="CPhi"/>
      <sheetName val="CP1"/>
      <sheetName val="GVXL5"/>
      <sheetName val="CPXL1"/>
      <sheetName val="THOP XL1"/>
      <sheetName val="CPXL5"/>
      <sheetName val="621XL1"/>
      <sheetName val="154XL1"/>
      <sheetName val="Khao PBXL1"/>
      <sheetName val="D154XL5"/>
      <sheetName val="KCCPXL5"/>
      <sheetName val="HTCPXL5"/>
      <sheetName val="TTCPXL5"/>
      <sheetName val="XL1-5"/>
      <sheetName val="Phan dap J95"/>
      <sheetName val="Kc giavonQ1.05"/>
      <sheetName val="Gan tru thue"/>
      <sheetName val="DThu"/>
      <sheetName val="Nhap KPCT"/>
      <sheetName val="PBo KPCT"/>
      <sheetName val="KP nop CT"/>
      <sheetName val="PB LV CNhanh"/>
      <sheetName val="PB CPC"/>
      <sheetName val="PB LV doi Q4"/>
      <sheetName val="PB LV doi"/>
      <sheetName val="GtQ4.05L4"/>
      <sheetName val="GTQ4.05L3"/>
      <sheetName val="GTQ4.05 L2"/>
      <sheetName val="GTQ4.05"/>
      <sheetName val="GT Q3,05 sua"/>
      <sheetName val="GT Kc Q3.05"/>
      <sheetName val="GT Q2.05"/>
      <sheetName val="GT01.2005"/>
      <sheetName val="k`28-10"/>
      <sheetName val="K255 SBasa"/>
      <sheetName val="Shaet28"/>
      <sheetName val="[PANEL.XLS_x001d_T5"/>
      <sheetName val="[PANEL.XLSŝQT thue 2001"/>
      <sheetName val="SŨeet3"/>
      <sheetName val="Sheetး6"/>
      <sheetName val="TH FF140"/>
      <sheetName val="TH FF177"/>
      <sheetName val="Tien dat HD"/>
      <sheetName val="TH cong no"/>
      <sheetName val="12.03"/>
      <sheetName val="1.04"/>
      <sheetName val="2.04"/>
      <sheetName val="3.04"/>
      <sheetName val="4.04"/>
      <sheetName val="KHTV _x0003__x0000_-2003"/>
      <sheetName val="THCP198"/>
      <sheetName val="Thg 2"/>
      <sheetName val="Thg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/>
      <sheetData sheetId="7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Thang04"/>
      <sheetName val="Thang06"/>
      <sheetName val="Thang0"/>
      <sheetName val="00000000"/>
      <sheetName val="han"/>
      <sheetName val="thkp"/>
      <sheetName val="TC "/>
      <sheetName val="TC  (2)"/>
      <sheetName val="thct"/>
      <sheetName val="list"/>
      <sheetName val="dg"/>
      <sheetName val="VLTD"/>
      <sheetName val="KL"/>
      <sheetName val="GVLDCCT"/>
      <sheetName val="PTVC"/>
      <sheetName val="Tke"/>
      <sheetName val="KSP"/>
      <sheetName val="PL KS"/>
      <sheetName val="thi sat"/>
      <sheetName val="GCMay"/>
      <sheetName val="nc-m"/>
      <sheetName val="den bu"/>
      <sheetName val="10000000"/>
      <sheetName val="dongia_x0000__x0000__x0000__x0000__x0000__x0000__x0000__x0000__x0000__x0000__x0009__x0000_㢠ś_x0000__x0004__x0000__x0000__x0000__x0000__x0000__x0000_㋄ś_x0000_"/>
      <sheetName val="C47-456"/>
      <sheetName val="C46"/>
      <sheetName val="C47-PII"/>
      <sheetName val="Tminh-DT"/>
      <sheetName val="CONG-TDT"/>
      <sheetName val="Cphi-KHAC"/>
      <sheetName val="Du toan (2)"/>
      <sheetName val="Du toan"/>
      <sheetName val="Phan tich vat tu"/>
      <sheetName val="Tong hop vat tu"/>
      <sheetName val="Gia tri vat tu"/>
      <sheetName val="Chenh lech vat tu"/>
      <sheetName val="CLVT_TINH"/>
      <sheetName val="cuoc"/>
      <sheetName val="Du thau"/>
      <sheetName val="Don gia chi tiet"/>
      <sheetName val="THKP_CAU"/>
      <sheetName val="Tu van Thiet ke"/>
      <sheetName val="Tien do thi cong"/>
      <sheetName val="Bia du toan"/>
      <sheetName val="Tro giup"/>
      <sheetName val="CP-TV-CAU"/>
      <sheetName val="Config"/>
      <sheetName val="XL4Poppy"/>
      <sheetName val="GT TT (2)"/>
      <sheetName val="KLTC giai doan"/>
      <sheetName val="KL (2)"/>
      <sheetName val="KLtt lan3"/>
      <sheetName val="GTT2 lan3 tt"/>
      <sheetName val="GTT2 lan 4 dc "/>
      <sheetName val="chenh lech gia"/>
      <sheetName val="KL bao con lai"/>
      <sheetName val="GTT2 lan 4 tt"/>
      <sheetName val="XXXXXXXX"/>
      <sheetName val="CV1"/>
      <sheetName val="CV2"/>
      <sheetName val="CV3"/>
      <sheetName val="CV4"/>
      <sheetName val="CV5"/>
      <sheetName val="CV6"/>
      <sheetName val="CV7"/>
      <sheetName val="CV8"/>
      <sheetName val="CV9"/>
      <sheetName val="THDGCT"/>
      <sheetName val="THgiathau"/>
      <sheetName val="GVT"/>
      <sheetName val="Tai khoan"/>
      <sheetName val="THCP"/>
      <sheetName val="BQT"/>
      <sheetName val="RG"/>
      <sheetName val="BCVT"/>
      <sheetName val="BKHD"/>
      <sheetName val="phan tich DG_x0000__x0000_㠨Ȣ_x0000__x0004__x0000__x0000__x0000__x0000__x0000__x0000_杀Ȣ_x0000__x0000__x0000__x0000__x0000_"/>
      <sheetName val="TN"/>
      <sheetName val="ND"/>
      <sheetName val="VL"/>
      <sheetName val="Chart1"/>
      <sheetName val="KL18Thang"/>
      <sheetName val="TH"/>
      <sheetName val="M200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DTCT"/>
      <sheetName val="d䁧"/>
      <sheetName val="NEW-PANEL"/>
      <sheetName val="Shaet4"/>
      <sheetName val="_x0000__x0000__x0000__x0000__x0000__x0000__x0000__x0000__x0000__x0009__x0000_?s_x0000__x0004__x0000__x0000__x0000__x0000__x0000__x0000_?s_x0000__x0000__x0000__x0000__x0000__x0000__x0000__x0000_"/>
      <sheetName val="ch DG_x0000__x0000_??_x0000__x0004__x0000__x0000__x0000__x0000__x0000__x0000_??_x0000__x0000__x0000__x0000__x0000__x0000__x0000__x0000_??_x0000__x0000_"/>
      <sheetName val="dongia_x0000__x0009_?s_x0000__x0004__x0000_?s_x0000_"/>
      <sheetName val="TK NO 111"/>
      <sheetName val="TK NO 112"/>
      <sheetName val="TK 1418"/>
      <sheetName val="TK 331"/>
      <sheetName val="TK 1412"/>
      <sheetName val="BCAO SDCT"/>
      <sheetName val="TK 142"/>
      <sheetName val="TK 242"/>
      <sheetName val="TK CO 112"/>
      <sheetName val="TK 153"/>
      <sheetName val="334"/>
      <sheetName val="Sheet5"/>
      <sheetName val="642"/>
      <sheetName val="154"/>
      <sheetName val="CT 154"/>
      <sheetName val="1362"/>
      <sheetName val="TK CO 111"/>
      <sheetName val="XXXXXXX0"/>
      <sheetName val="Comb"/>
      <sheetName val="Hướng dẫn"/>
      <sheetName val="Ví dụ hàm Vlookup"/>
      <sheetName val="CPVCBT"/>
      <sheetName val="CPVCBD"/>
      <sheetName val="GVLBT"/>
      <sheetName val="GVLBD"/>
      <sheetName val="vuabt"/>
      <sheetName val="vuabd"/>
      <sheetName val="SXDDMO"/>
      <sheetName val="SXDH"/>
      <sheetName val="SXBTN"/>
      <sheetName val="SXDDMOD"/>
      <sheetName val="SXDHD"/>
      <sheetName val="SXBTND"/>
      <sheetName val="gcm"/>
      <sheetName val="gcm06"/>
      <sheetName val="cphoi"/>
      <sheetName val="cphoi2"/>
      <sheetName val="duoith"/>
      <sheetName val="cpnc205"/>
      <sheetName val="cpnc205mtc"/>
      <sheetName val="cpnclx205"/>
      <sheetName val="cpncvts"/>
      <sheetName val="cpnctnvs"/>
      <sheetName val="cpnctlan"/>
      <sheetName val="KGA"/>
      <sheetName val="ctldtb"/>
      <sheetName val="tonghopldtb"/>
      <sheetName val="ctldtbd"/>
      <sheetName val="tonghopldtbd"/>
      <sheetName val="dongia_x0000_ 㢠ś_x0000__x0004__x0000_㋄ś_x0000_"/>
      <sheetName val="d?"/>
      <sheetName val="_x0000_@_x0000_@_x0000_@_x0000_@_x0000_@_x0000_@_x0000_@_x0000_@_x0000_@_x0000_@_x0000_@_x0000_@_x0000_@_x0000_@_x0000_@_x0000_"/>
      <sheetName val="tra-vat-lieu"/>
      <sheetName val="phan tich DG_x0000__x0000_??_x0000__x0004__x0000__x0000__x0000__x0000__x0000__x0000_??_x0000__x0000__x0000__x0000__x0000_"/>
      <sheetName val="NEW_PANEL"/>
      <sheetName val=""/>
      <sheetName val="dongia_x0000_ ?s_x0000__x0004__x0000_?s_x0000_"/>
      <sheetName val="dongia??????????_x0009_?㢠ś?_x0004_??????㋄ś?"/>
      <sheetName val="dongia?_x0009_㢠ś?_x0004_?㋄ś?"/>
      <sheetName val="dongia?_x0009_㢠ś_x0004_?㋄ś"/>
      <sheetName val="phan tich DG??㠨Ȣ?_x0004_??????杀Ȣ?????"/>
      <sheetName val="?????????_x0009_??s?_x0004_???????s????????"/>
      <sheetName val="dongia??????????_x0009_??s?_x0004_???????s?"/>
      <sheetName val="ch DG?????_x0004_????????????????????"/>
      <sheetName val="dongia? 㢠ś?_x0004_?㋄ś?"/>
      <sheetName val="phan tich DG?????_x0004_?????????????"/>
      <sheetName val="dongia?_x0009_?s?_x0004_??s?"/>
      <sheetName val="dongia?_x0009_?s_x0004_??s"/>
      <sheetName val="dongia? ?s?_x0004_??s?"/>
      <sheetName val="_x0009_?s?_x0004_??s?"/>
      <sheetName val="ch DG????_x0004_???????"/>
      <sheetName val="phan tich DG????_x0004_????"/>
      <sheetName val="Page 3"/>
      <sheetName val="Input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ch DG"/>
      <sheetName val="d_"/>
      <sheetName val="dongia___________x0009__㢠ś__x0004_______㋄ś_"/>
      <sheetName val="dongia__x0009_㢠ś__x0004__㋄ś_"/>
      <sheetName val="dongia__x0009_㢠ś_x0004__㋄ś"/>
      <sheetName val="phan tich DG__㠨Ȣ__x0004_______杀Ȣ_____"/>
      <sheetName val="__________x0009___s__x0004________s________"/>
      <sheetName val="dongia___________x0009___s__x0004________s_"/>
      <sheetName val="ch DG______x0004_____________________"/>
      <sheetName val="dongia_ 㢠ś__x0004__㋄ś_"/>
      <sheetName val="phan tich DG______x0004______________"/>
      <sheetName val="dongia__x0009__s__x0004___s_"/>
      <sheetName val="dongia__x0009__s_x0004___s"/>
      <sheetName val="dongia_ _s__x0004___s_"/>
      <sheetName val="_x0009__s__x0004___s_"/>
      <sheetName val="ch DG_____x0004________"/>
      <sheetName val="phan tich DG_____x0004_____"/>
      <sheetName val="dongia_x0000__x0009_㢠ś_x0000__x0004__x0000_㋄ś_x0000_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 cong 07-&gt;12"/>
      <sheetName val="Cham cong TH 1-&gt;6"/>
      <sheetName val="T Hop luong"/>
      <sheetName val=" ?s_x0000__x0004__x0000_?s_x0000_"/>
      <sheetName val="_x0009_?s"/>
      <sheetName val="?@?@?@?@?@?@?@?@?@?@?@?@?@?@?@?"/>
      <sheetName val="Hu?ng d?n"/>
      <sheetName val="Ví d? hàm Vlookup"/>
      <sheetName val="dongia_x0000__x0000__x0000__x0000__x0000__x0000__x0002__x0000__x0000__x0000__x0009__x0000_?s_x0000__x0004__x0000__x0000__x0000__x0000__x0000__x0000_?s_x0000_"/>
      <sheetName val="phaɮ tich DG??㠨Ȣ?_x0004_??????杀Ȣ?????"/>
      <sheetName val="dongia??????_x0002_???_x0009_??s?_x0004_???????s?"/>
      <sheetName val="@_x0000_@_x0000_@_x0000_@_x0000_@_x0000_@_x0000_@_x0000_@_x0000_@_x0000_@_x0000_@_x0000_@_x0000_@_x0000_@_x0000_@_x0000_@"/>
      <sheetName val="G_x0016_L"/>
      <sheetName val="_x0000__x0000__x0000__x0000__x0000__x0000__x0000__x0000__x0000__x0009__x0000_??_x0000__x0004__x0000__x0000__x0000__x0000__x0000__x0000_??_x0000__x0000__x0000__x0000__x0000__x0000__x0000__x0000_"/>
      <sheetName val="tuong"/>
      <sheetName val="donööö"/>
      <sheetName val="dongia_x0000_ ??_x0000__x0004__x0000_??_x0000_"/>
      <sheetName val="pha? tich DG?????_x0004_?????????????"/>
      <sheetName val="dongia?_x0002_?_x0009_?s?_x0004_??s?"/>
      <sheetName val="XXXPXXX0"/>
      <sheetName val="[DT-TN.xlsMCT"/>
      <sheetName val="Sheet9"/>
      <sheetName val="dongia_x0000__x0000__x0000__x0000__x0000__x0000__x0000__x0000__x0000__x0000__x0009__x0000_?s_x0000__x0004__x0000__x0000__x0000__x0000__x0000__x0000_?s_x0000_"/>
      <sheetName val="dongia_x0000__x0009_㢠ś_x0004__x0000_㋄ś"/>
      <sheetName val="dongia_x0000__x0009_?s_x0004__x0000_?s"/>
      <sheetName val="_x0009_?s_x0000__x0004__x0000_?s_x0000_"/>
      <sheetName val="ch DG_x0000_??_x0000__x0004__x0000_??_x0000_??_x0000_"/>
      <sheetName val="phan tich DG_x0000_??_x0000__x0004__x0000_??_x0000_"/>
      <sheetName val="dongia_x0000_ 㢠ś_x0004__x0000_㋄ś"/>
      <sheetName val="dongia_x0000__x0002__x0000__x0009_?s_x0000__x0004__x0000_?s_x0000_"/>
      <sheetName val="ch DG??_x0000__x0004__x0000_??_x0000_??_x0000_"/>
    </sheetNames>
    <sheetDataSet>
      <sheetData sheetId="0" refreshError="1"/>
      <sheetData sheetId="1" refreshError="1">
        <row r="6">
          <cell r="A6">
            <v>2</v>
          </cell>
          <cell r="B6" t="str">
            <v>VËt liÖu</v>
          </cell>
          <cell r="C6" t="str">
            <v>c¸i</v>
          </cell>
          <cell r="D6">
            <v>15000</v>
          </cell>
        </row>
        <row r="7">
          <cell r="A7" t="str">
            <v>147</v>
          </cell>
          <cell r="B7" t="str">
            <v>DÇu mazót</v>
          </cell>
          <cell r="C7" t="str">
            <v>kg</v>
          </cell>
          <cell r="D7">
            <v>36.576000000000001</v>
          </cell>
          <cell r="E7">
            <v>4300</v>
          </cell>
          <cell r="F7">
            <v>157277</v>
          </cell>
        </row>
        <row r="8">
          <cell r="A8" t="str">
            <v>082</v>
          </cell>
          <cell r="B8" t="str">
            <v>CÊp phèi</v>
          </cell>
          <cell r="C8" t="str">
            <v>m3</v>
          </cell>
          <cell r="D8">
            <v>49.334400000000002</v>
          </cell>
          <cell r="E8">
            <v>52581.25</v>
          </cell>
          <cell r="F8">
            <v>986688</v>
          </cell>
        </row>
        <row r="9">
          <cell r="A9" t="str">
            <v>049</v>
          </cell>
          <cell r="B9" t="str">
            <v>Bª t«ng nhùa h¹t mÞn</v>
          </cell>
          <cell r="C9" t="str">
            <v>TÊn</v>
          </cell>
          <cell r="D9">
            <v>34.50564</v>
          </cell>
          <cell r="E9">
            <v>918577</v>
          </cell>
        </row>
        <row r="10">
          <cell r="A10" t="str">
            <v>050</v>
          </cell>
          <cell r="B10" t="str">
            <v>Bª t«ng nhùa h¹t th«</v>
          </cell>
          <cell r="C10" t="str">
            <v>TÊn</v>
          </cell>
          <cell r="D10">
            <v>104762</v>
          </cell>
          <cell r="E10">
            <v>887074</v>
          </cell>
        </row>
        <row r="11">
          <cell r="A11" t="str">
            <v>367</v>
          </cell>
          <cell r="B11" t="str">
            <v>TÊm bª t«ng 20x20</v>
          </cell>
          <cell r="C11" t="str">
            <v>m</v>
          </cell>
          <cell r="D11">
            <v>73.8</v>
          </cell>
          <cell r="E11">
            <v>23000</v>
          </cell>
          <cell r="F11">
            <v>1697400</v>
          </cell>
        </row>
        <row r="12">
          <cell r="A12" t="str">
            <v>337</v>
          </cell>
          <cell r="B12" t="str">
            <v>ThÐp trßn</v>
          </cell>
          <cell r="C12" t="str">
            <v>kg</v>
          </cell>
          <cell r="D12">
            <v>377.34899999999999</v>
          </cell>
          <cell r="E12">
            <v>4100</v>
          </cell>
          <cell r="F12">
            <v>1547131</v>
          </cell>
        </row>
        <row r="13">
          <cell r="A13" t="str">
            <v>331</v>
          </cell>
          <cell r="B13" t="str">
            <v>ThÐp h×nh</v>
          </cell>
          <cell r="C13" t="str">
            <v>kg</v>
          </cell>
          <cell r="D13">
            <v>560.2704</v>
          </cell>
          <cell r="E13">
            <v>4014</v>
          </cell>
          <cell r="F13">
            <v>2248925</v>
          </cell>
        </row>
        <row r="14">
          <cell r="A14" t="str">
            <v>442</v>
          </cell>
          <cell r="B14" t="str">
            <v>§Êt ®Ìn</v>
          </cell>
          <cell r="C14" t="str">
            <v>kg</v>
          </cell>
          <cell r="D14">
            <v>24.94858</v>
          </cell>
          <cell r="E14">
            <v>7500</v>
          </cell>
          <cell r="F14">
            <v>187114</v>
          </cell>
        </row>
        <row r="15">
          <cell r="A15" t="str">
            <v>400</v>
          </cell>
          <cell r="B15" t="str">
            <v>¤ xy</v>
          </cell>
          <cell r="C15" t="str">
            <v>chai</v>
          </cell>
          <cell r="D15">
            <v>6.2348800000000004</v>
          </cell>
          <cell r="E15">
            <v>25000</v>
          </cell>
          <cell r="F15">
            <v>155872</v>
          </cell>
        </row>
        <row r="16">
          <cell r="A16" t="str">
            <v>348</v>
          </cell>
          <cell r="B16" t="str">
            <v>ThÐp ®Öm</v>
          </cell>
          <cell r="C16" t="str">
            <v>kg</v>
          </cell>
          <cell r="D16">
            <v>75.400000000000006</v>
          </cell>
          <cell r="E16">
            <v>5000</v>
          </cell>
          <cell r="F16">
            <v>377000</v>
          </cell>
        </row>
        <row r="17">
          <cell r="A17" t="str">
            <v>026</v>
          </cell>
          <cell r="B17" t="str">
            <v>Bu l«ng M18x20</v>
          </cell>
          <cell r="C17" t="str">
            <v>c¸i</v>
          </cell>
          <cell r="D17">
            <v>174</v>
          </cell>
          <cell r="E17">
            <v>2897</v>
          </cell>
          <cell r="F17">
            <v>504078</v>
          </cell>
        </row>
        <row r="18">
          <cell r="A18" t="str">
            <v>341</v>
          </cell>
          <cell r="B18" t="str">
            <v>ThÐp trßn D &gt; 18mm</v>
          </cell>
          <cell r="C18" t="str">
            <v>kg</v>
          </cell>
          <cell r="D18">
            <v>2780.52</v>
          </cell>
          <cell r="E18">
            <v>3971.43</v>
          </cell>
          <cell r="F18">
            <v>10515927</v>
          </cell>
        </row>
        <row r="19">
          <cell r="A19" t="str">
            <v>388</v>
          </cell>
          <cell r="B19" t="str">
            <v>V÷a bª t«ng</v>
          </cell>
          <cell r="C19" t="str">
            <v>m3</v>
          </cell>
          <cell r="D19">
            <v>473.23360000000002</v>
          </cell>
        </row>
        <row r="20">
          <cell r="A20" t="str">
            <v>443</v>
          </cell>
          <cell r="B20" t="str">
            <v>§Êt ®á</v>
          </cell>
          <cell r="C20" t="str">
            <v>m3</v>
          </cell>
          <cell r="D20">
            <v>26.39744</v>
          </cell>
          <cell r="E20">
            <v>52581.25</v>
          </cell>
          <cell r="F20">
            <v>527949</v>
          </cell>
        </row>
        <row r="21">
          <cell r="A21" t="str">
            <v>427</v>
          </cell>
          <cell r="B21" t="str">
            <v>§¸ d¨m 0,5x1</v>
          </cell>
          <cell r="C21" t="str">
            <v>m3</v>
          </cell>
          <cell r="D21">
            <v>9.8604800000000008</v>
          </cell>
          <cell r="E21">
            <v>123207.61</v>
          </cell>
          <cell r="F21">
            <v>788838</v>
          </cell>
        </row>
        <row r="22">
          <cell r="A22" t="str">
            <v>430</v>
          </cell>
          <cell r="B22" t="str">
            <v>§¸ d¨m 4x6 t/c</v>
          </cell>
          <cell r="C22" t="str">
            <v>m3</v>
          </cell>
          <cell r="D22">
            <v>69.36</v>
          </cell>
          <cell r="E22">
            <v>94327.61</v>
          </cell>
          <cell r="F22">
            <v>4161600</v>
          </cell>
        </row>
        <row r="23">
          <cell r="A23" t="str">
            <v>426</v>
          </cell>
          <cell r="B23" t="str">
            <v>§¸ d¨m 4x6 t/h</v>
          </cell>
          <cell r="C23" t="str">
            <v>m3</v>
          </cell>
          <cell r="D23">
            <v>7.4755500000000001</v>
          </cell>
          <cell r="E23">
            <v>79089.509999999995</v>
          </cell>
          <cell r="F23">
            <v>448533</v>
          </cell>
        </row>
        <row r="24">
          <cell r="A24" t="str">
            <v>434</v>
          </cell>
          <cell r="B24" t="str">
            <v>§¸ héc</v>
          </cell>
          <cell r="C24" t="str">
            <v>m3</v>
          </cell>
          <cell r="D24">
            <v>178.11600000000001</v>
          </cell>
          <cell r="E24">
            <v>75923.8</v>
          </cell>
          <cell r="F24">
            <v>8096263</v>
          </cell>
        </row>
        <row r="25">
          <cell r="A25" t="str">
            <v>163</v>
          </cell>
          <cell r="B25" t="str">
            <v>GiÊy dÇu</v>
          </cell>
          <cell r="C25" t="str">
            <v>m2</v>
          </cell>
          <cell r="D25">
            <v>287.53919999999999</v>
          </cell>
          <cell r="E25">
            <v>15000</v>
          </cell>
          <cell r="F25">
            <v>4313088</v>
          </cell>
        </row>
        <row r="26">
          <cell r="A26" t="str">
            <v>002</v>
          </cell>
          <cell r="B26" t="str">
            <v>Bao t¶i</v>
          </cell>
          <cell r="C26" t="str">
            <v>m2</v>
          </cell>
          <cell r="D26">
            <v>157.7664</v>
          </cell>
          <cell r="E26">
            <v>3800</v>
          </cell>
          <cell r="F26">
            <v>599512</v>
          </cell>
        </row>
        <row r="27">
          <cell r="A27" t="str">
            <v>343</v>
          </cell>
          <cell r="B27" t="str">
            <v>ThÐp trßn D&lt;= 18mm</v>
          </cell>
          <cell r="C27" t="str">
            <v>kg</v>
          </cell>
          <cell r="D27">
            <v>32321.0052</v>
          </cell>
          <cell r="E27">
            <v>3971.43</v>
          </cell>
          <cell r="F27">
            <v>122981425</v>
          </cell>
        </row>
        <row r="28">
          <cell r="A28" t="str">
            <v>8002</v>
          </cell>
          <cell r="B28" t="str">
            <v>ThÐp trßn D= 10mm A2</v>
          </cell>
          <cell r="C28" t="str">
            <v>kg</v>
          </cell>
          <cell r="D28">
            <v>1900</v>
          </cell>
          <cell r="E28">
            <v>4447.62</v>
          </cell>
        </row>
        <row r="29">
          <cell r="A29" t="str">
            <v>8000</v>
          </cell>
          <cell r="B29" t="str">
            <v>ThÐp trßn D&lt;= 12mm A2</v>
          </cell>
          <cell r="C29" t="str">
            <v>kg</v>
          </cell>
          <cell r="D29">
            <v>109524</v>
          </cell>
          <cell r="E29">
            <v>4447.62</v>
          </cell>
        </row>
        <row r="30">
          <cell r="A30" t="str">
            <v>412</v>
          </cell>
          <cell r="B30" t="str">
            <v>§inh ®Øa</v>
          </cell>
          <cell r="C30" t="str">
            <v>C¸i</v>
          </cell>
          <cell r="D30">
            <v>1283.63219</v>
          </cell>
          <cell r="E30">
            <v>600</v>
          </cell>
          <cell r="F30">
            <v>770179</v>
          </cell>
        </row>
        <row r="31">
          <cell r="A31" t="str">
            <v>232</v>
          </cell>
          <cell r="B31" t="str">
            <v>Gç v¸n cÇu c«ng t¸c</v>
          </cell>
          <cell r="C31" t="str">
            <v>m3</v>
          </cell>
          <cell r="D31">
            <v>71.614959999999996</v>
          </cell>
          <cell r="E31">
            <v>1454545</v>
          </cell>
          <cell r="F31">
            <v>104167182</v>
          </cell>
        </row>
        <row r="32">
          <cell r="A32" t="str">
            <v>282</v>
          </cell>
          <cell r="B32" t="str">
            <v>Phô gia dÎo ho¸</v>
          </cell>
          <cell r="C32" t="str">
            <v>kg</v>
          </cell>
          <cell r="D32">
            <v>13083.99057</v>
          </cell>
          <cell r="E32">
            <v>673</v>
          </cell>
          <cell r="F32">
            <v>8805526</v>
          </cell>
        </row>
        <row r="33">
          <cell r="A33" t="str">
            <v>0414</v>
          </cell>
          <cell r="B33" t="str">
            <v>èng bª t«ng ly t©m D1200mm (èng dµi 2m)</v>
          </cell>
          <cell r="C33" t="str">
            <v>m</v>
          </cell>
          <cell r="D33">
            <v>6740.6149999999998</v>
          </cell>
          <cell r="E33">
            <v>647619.05000000005</v>
          </cell>
        </row>
        <row r="34">
          <cell r="A34" t="str">
            <v>0412</v>
          </cell>
          <cell r="B34" t="str">
            <v>èng bª t«ng ly t©m D1000mm (èng dµi 2m)</v>
          </cell>
          <cell r="C34" t="str">
            <v>m</v>
          </cell>
          <cell r="D34">
            <v>1555.9949999999999</v>
          </cell>
          <cell r="E34">
            <v>461904.76</v>
          </cell>
          <cell r="F34">
            <v>12557733</v>
          </cell>
        </row>
        <row r="35">
          <cell r="A35" t="str">
            <v>127</v>
          </cell>
          <cell r="B35" t="str">
            <v>D©y buéc</v>
          </cell>
          <cell r="C35" t="str">
            <v>kg</v>
          </cell>
          <cell r="D35">
            <v>50.790900000000001</v>
          </cell>
          <cell r="E35">
            <v>5500</v>
          </cell>
          <cell r="F35">
            <v>279350</v>
          </cell>
        </row>
        <row r="36">
          <cell r="A36" t="str">
            <v>214</v>
          </cell>
          <cell r="B36" t="str">
            <v>G¹ch x©y (6,5x10,5x22)</v>
          </cell>
          <cell r="C36" t="str">
            <v>viªn</v>
          </cell>
          <cell r="D36">
            <v>495.11</v>
          </cell>
          <cell r="E36">
            <v>485.71</v>
          </cell>
          <cell r="F36">
            <v>225275</v>
          </cell>
        </row>
        <row r="37">
          <cell r="A37" t="str">
            <v>0410</v>
          </cell>
          <cell r="B37" t="str">
            <v>èng bª t«ng ly t©m D800mm (èng dµi 2m)</v>
          </cell>
          <cell r="C37" t="str">
            <v>m</v>
          </cell>
          <cell r="D37">
            <v>458.78</v>
          </cell>
          <cell r="E37">
            <v>357142.86</v>
          </cell>
        </row>
        <row r="38">
          <cell r="A38" t="str">
            <v>078</v>
          </cell>
          <cell r="B38" t="str">
            <v>C¸t mÞn ML 1,5 - 2,0</v>
          </cell>
          <cell r="C38" t="str">
            <v>m3</v>
          </cell>
          <cell r="D38">
            <v>64.351879999999994</v>
          </cell>
          <cell r="E38">
            <v>79716.009999999995</v>
          </cell>
          <cell r="F38">
            <v>3159098</v>
          </cell>
        </row>
        <row r="39">
          <cell r="A39" t="str">
            <v>220</v>
          </cell>
          <cell r="B39" t="str">
            <v>Gç chÌn khi l¾p cÊu kiÖn</v>
          </cell>
          <cell r="C39" t="str">
            <v>m3</v>
          </cell>
          <cell r="D39">
            <v>29.02</v>
          </cell>
          <cell r="E39">
            <v>1454545</v>
          </cell>
          <cell r="F39">
            <v>42210896</v>
          </cell>
        </row>
        <row r="40">
          <cell r="A40" t="str">
            <v>286</v>
          </cell>
          <cell r="B40" t="str">
            <v>Que hµn</v>
          </cell>
          <cell r="C40" t="str">
            <v>kg</v>
          </cell>
          <cell r="D40">
            <v>4426.36114</v>
          </cell>
          <cell r="E40">
            <v>8500</v>
          </cell>
          <cell r="F40">
            <v>37624070</v>
          </cell>
        </row>
        <row r="41">
          <cell r="A41" t="str">
            <v>313</v>
          </cell>
          <cell r="B41" t="str">
            <v>S¾t ®Öm</v>
          </cell>
          <cell r="C41" t="str">
            <v>kg</v>
          </cell>
          <cell r="D41">
            <v>2902</v>
          </cell>
          <cell r="E41">
            <v>5000</v>
          </cell>
          <cell r="F41">
            <v>14510000</v>
          </cell>
        </row>
        <row r="42">
          <cell r="A42" t="str">
            <v>385</v>
          </cell>
          <cell r="B42" t="str">
            <v>V÷a</v>
          </cell>
          <cell r="C42" t="str">
            <v>m3</v>
          </cell>
          <cell r="D42">
            <v>0.51382000000000005</v>
          </cell>
        </row>
        <row r="43">
          <cell r="A43" t="str">
            <v>234</v>
          </cell>
          <cell r="B43" t="str">
            <v>Gç v¸n khu«n (c¶ nÑp)</v>
          </cell>
          <cell r="C43" t="str">
            <v>m3</v>
          </cell>
          <cell r="D43">
            <v>40.070059999999998</v>
          </cell>
          <cell r="E43">
            <v>1454545</v>
          </cell>
          <cell r="F43">
            <v>58283705</v>
          </cell>
        </row>
        <row r="44">
          <cell r="A44" t="str">
            <v>136</v>
          </cell>
          <cell r="B44" t="str">
            <v>D©y thÐp</v>
          </cell>
          <cell r="C44" t="str">
            <v>kg</v>
          </cell>
          <cell r="D44">
            <v>7438.5787399999999</v>
          </cell>
          <cell r="E44">
            <v>5455</v>
          </cell>
          <cell r="F44">
            <v>40577447</v>
          </cell>
        </row>
        <row r="45">
          <cell r="A45" t="str">
            <v>344</v>
          </cell>
          <cell r="B45" t="str">
            <v>ThÐp trßn D&lt;=10mm</v>
          </cell>
          <cell r="C45" t="str">
            <v>kg</v>
          </cell>
          <cell r="D45">
            <v>325952.06205000001</v>
          </cell>
          <cell r="E45">
            <v>4100</v>
          </cell>
          <cell r="F45">
            <v>1336403454</v>
          </cell>
        </row>
        <row r="46">
          <cell r="A46" t="str">
            <v>0408</v>
          </cell>
          <cell r="B46" t="str">
            <v>èng bª t«ng ly t©m D600mm (èng dµi 2m)</v>
          </cell>
          <cell r="C46" t="str">
            <v>m</v>
          </cell>
          <cell r="D46">
            <v>24.36</v>
          </cell>
          <cell r="E46">
            <v>180952.38</v>
          </cell>
        </row>
        <row r="47">
          <cell r="A47" t="str">
            <v>079</v>
          </cell>
          <cell r="B47" t="str">
            <v>C¸t nÒn</v>
          </cell>
          <cell r="C47" t="str">
            <v>m3</v>
          </cell>
          <cell r="D47">
            <v>435.57659999999998</v>
          </cell>
          <cell r="E47">
            <v>40668.39</v>
          </cell>
          <cell r="F47">
            <v>7523279</v>
          </cell>
        </row>
        <row r="48">
          <cell r="A48" t="str">
            <v>126</v>
          </cell>
          <cell r="B48" t="str">
            <v>D©y</v>
          </cell>
          <cell r="C48" t="str">
            <v>kg</v>
          </cell>
          <cell r="D48">
            <v>620.90231000000006</v>
          </cell>
          <cell r="E48">
            <v>5500</v>
          </cell>
          <cell r="F48">
            <v>3414963</v>
          </cell>
        </row>
        <row r="49">
          <cell r="A49" t="str">
            <v>231</v>
          </cell>
          <cell r="B49" t="str">
            <v>Gç v¸n</v>
          </cell>
          <cell r="C49" t="str">
            <v>m3</v>
          </cell>
          <cell r="D49">
            <v>14.951700000000001</v>
          </cell>
          <cell r="E49">
            <v>1454545</v>
          </cell>
          <cell r="F49">
            <v>21747920</v>
          </cell>
        </row>
        <row r="50">
          <cell r="A50" t="str">
            <v>071</v>
          </cell>
          <cell r="B50" t="str">
            <v>C©y chèng</v>
          </cell>
          <cell r="C50" t="str">
            <v>c©y</v>
          </cell>
          <cell r="D50">
            <v>2358.3970300000001</v>
          </cell>
          <cell r="E50">
            <v>17142.86</v>
          </cell>
          <cell r="F50">
            <v>23583970</v>
          </cell>
        </row>
        <row r="51">
          <cell r="A51" t="str">
            <v>100</v>
          </cell>
          <cell r="B51" t="str">
            <v>Cäc tre</v>
          </cell>
          <cell r="C51" t="str">
            <v>m</v>
          </cell>
          <cell r="D51">
            <v>138712.21875</v>
          </cell>
          <cell r="E51">
            <v>1136</v>
          </cell>
          <cell r="F51">
            <v>157577080</v>
          </cell>
        </row>
        <row r="52">
          <cell r="A52" t="str">
            <v>141</v>
          </cell>
          <cell r="B52" t="str">
            <v>D©y thõng</v>
          </cell>
          <cell r="C52" t="str">
            <v>m</v>
          </cell>
          <cell r="D52">
            <v>6562.5420000000004</v>
          </cell>
          <cell r="E52">
            <v>1121</v>
          </cell>
          <cell r="F52">
            <v>7356610</v>
          </cell>
        </row>
        <row r="53">
          <cell r="A53" t="str">
            <v>272</v>
          </cell>
          <cell r="B53" t="str">
            <v>Nhùa bitum sè 4</v>
          </cell>
          <cell r="C53" t="str">
            <v>kg</v>
          </cell>
          <cell r="D53">
            <v>5889.5495199999996</v>
          </cell>
          <cell r="E53">
            <v>2747</v>
          </cell>
          <cell r="F53">
            <v>13545964</v>
          </cell>
        </row>
        <row r="54">
          <cell r="A54" t="str">
            <v>428</v>
          </cell>
          <cell r="B54" t="str">
            <v>§¸ d¨m 1x2</v>
          </cell>
          <cell r="C54" t="str">
            <v>m3</v>
          </cell>
          <cell r="D54">
            <v>5234.9716600000002</v>
          </cell>
          <cell r="E54">
            <v>107017.13</v>
          </cell>
          <cell r="F54">
            <v>385482373</v>
          </cell>
        </row>
        <row r="55">
          <cell r="A55" t="str">
            <v>119</v>
          </cell>
          <cell r="B55" t="str">
            <v>Cñi</v>
          </cell>
          <cell r="C55" t="str">
            <v>kg</v>
          </cell>
          <cell r="D55">
            <v>97185.240720000002</v>
          </cell>
          <cell r="E55">
            <v>400</v>
          </cell>
          <cell r="F55">
            <v>38874096</v>
          </cell>
        </row>
        <row r="56">
          <cell r="A56" t="str">
            <v>067</v>
          </cell>
          <cell r="B56" t="str">
            <v>Bét ®¸</v>
          </cell>
          <cell r="C56" t="str">
            <v>kg</v>
          </cell>
          <cell r="D56">
            <v>46573.931519999998</v>
          </cell>
          <cell r="E56">
            <v>266.66666666666663</v>
          </cell>
          <cell r="F56">
            <v>8476456</v>
          </cell>
        </row>
        <row r="57">
          <cell r="A57" t="str">
            <v>271</v>
          </cell>
          <cell r="B57" t="str">
            <v>Nhùa bitum</v>
          </cell>
          <cell r="C57" t="str">
            <v>kg</v>
          </cell>
          <cell r="D57">
            <v>80860.92</v>
          </cell>
          <cell r="E57">
            <v>2747</v>
          </cell>
          <cell r="F57">
            <v>185980116</v>
          </cell>
        </row>
        <row r="58">
          <cell r="A58" t="str">
            <v>401</v>
          </cell>
          <cell r="B58" t="str">
            <v>§inh</v>
          </cell>
          <cell r="C58" t="str">
            <v>kg</v>
          </cell>
          <cell r="D58">
            <v>2302.0592499999998</v>
          </cell>
          <cell r="E58">
            <v>5455</v>
          </cell>
          <cell r="F58">
            <v>12557733</v>
          </cell>
        </row>
        <row r="59">
          <cell r="A59" t="str">
            <v>221</v>
          </cell>
          <cell r="B59" t="str">
            <v>Gç chèng</v>
          </cell>
          <cell r="C59" t="str">
            <v>m3</v>
          </cell>
          <cell r="D59">
            <v>62.123640000000002</v>
          </cell>
          <cell r="E59">
            <v>1454545</v>
          </cell>
          <cell r="F59">
            <v>90361630</v>
          </cell>
        </row>
        <row r="60">
          <cell r="A60" t="str">
            <v>239</v>
          </cell>
          <cell r="B60" t="str">
            <v>Gç ®µ nÑp</v>
          </cell>
          <cell r="C60" t="str">
            <v>m3</v>
          </cell>
          <cell r="D60">
            <v>16.925940000000001</v>
          </cell>
          <cell r="E60">
            <v>1454545</v>
          </cell>
          <cell r="F60">
            <v>24619541</v>
          </cell>
        </row>
        <row r="61">
          <cell r="A61" t="str">
            <v>233</v>
          </cell>
          <cell r="B61" t="str">
            <v>Gç v¸n khu«n</v>
          </cell>
          <cell r="C61" t="str">
            <v>m3</v>
          </cell>
          <cell r="D61">
            <v>114.6778</v>
          </cell>
          <cell r="E61">
            <v>1454545</v>
          </cell>
          <cell r="F61">
            <v>166804021</v>
          </cell>
        </row>
        <row r="62">
          <cell r="A62" t="str">
            <v>275</v>
          </cell>
          <cell r="B62" t="str">
            <v>N­íc</v>
          </cell>
          <cell r="C62" t="str">
            <v>LÝt</v>
          </cell>
          <cell r="D62">
            <v>1213213.2553900001</v>
          </cell>
          <cell r="E62">
            <v>6</v>
          </cell>
          <cell r="F62">
            <v>2426427</v>
          </cell>
        </row>
        <row r="63">
          <cell r="A63" t="str">
            <v>429</v>
          </cell>
          <cell r="B63" t="str">
            <v>§¸ d¨m 2x4</v>
          </cell>
          <cell r="C63" t="str">
            <v>m3</v>
          </cell>
          <cell r="D63">
            <v>397.76119</v>
          </cell>
          <cell r="E63">
            <v>102899.04</v>
          </cell>
          <cell r="F63">
            <v>27843283</v>
          </cell>
        </row>
        <row r="64">
          <cell r="A64" t="str">
            <v>081</v>
          </cell>
          <cell r="B64" t="str">
            <v>C¸t vµng</v>
          </cell>
          <cell r="C64" t="str">
            <v>m3</v>
          </cell>
          <cell r="D64">
            <v>3098.9452200000001</v>
          </cell>
          <cell r="E64">
            <v>79716.009999999995</v>
          </cell>
          <cell r="F64">
            <v>163398085</v>
          </cell>
        </row>
        <row r="65">
          <cell r="A65" t="str">
            <v>0002</v>
          </cell>
          <cell r="B65" t="str">
            <v>C¸t vµng</v>
          </cell>
          <cell r="C65" t="str">
            <v>m3</v>
          </cell>
          <cell r="D65">
            <v>203.15798000000001</v>
          </cell>
          <cell r="E65">
            <v>79716.009999999995</v>
          </cell>
          <cell r="F65">
            <v>10711911</v>
          </cell>
        </row>
        <row r="66">
          <cell r="A66" t="str">
            <v>390</v>
          </cell>
          <cell r="B66" t="str">
            <v>Xi m¨ng PC30</v>
          </cell>
          <cell r="C66" t="str">
            <v>kg</v>
          </cell>
          <cell r="D66">
            <v>2379864.18872</v>
          </cell>
          <cell r="E66">
            <v>714.29</v>
          </cell>
          <cell r="F66">
            <v>1601648599</v>
          </cell>
        </row>
        <row r="67">
          <cell r="A67" t="str">
            <v>0192</v>
          </cell>
          <cell r="B67" t="str">
            <v>Cñi ®un</v>
          </cell>
          <cell r="C67" t="str">
            <v>kg</v>
          </cell>
          <cell r="D67">
            <v>6936.9691999999995</v>
          </cell>
          <cell r="E67">
            <v>400</v>
          </cell>
          <cell r="F67">
            <v>2774788</v>
          </cell>
        </row>
        <row r="68">
          <cell r="A68" t="str">
            <v>0191</v>
          </cell>
          <cell r="B68" t="str">
            <v>Nhùa bi tum</v>
          </cell>
          <cell r="C68" t="str">
            <v>kg</v>
          </cell>
          <cell r="D68">
            <v>6936.9691999999995</v>
          </cell>
          <cell r="E68">
            <v>2747</v>
          </cell>
          <cell r="F68">
            <v>20810908</v>
          </cell>
        </row>
        <row r="69">
          <cell r="A69" t="str">
            <v>0372</v>
          </cell>
          <cell r="B69" t="str">
            <v>D©y ®ay</v>
          </cell>
          <cell r="C69" t="str">
            <v>kg</v>
          </cell>
          <cell r="D69">
            <v>22048.333999999999</v>
          </cell>
          <cell r="E69">
            <v>2500</v>
          </cell>
          <cell r="F69">
            <v>61760966</v>
          </cell>
        </row>
        <row r="70">
          <cell r="A70" t="str">
            <v>0406</v>
          </cell>
          <cell r="B70" t="str">
            <v>èng bª t«ng ly t©m D400mm (èng dµi 2m)</v>
          </cell>
          <cell r="C70" t="str">
            <v>m</v>
          </cell>
          <cell r="D70">
            <v>645.54</v>
          </cell>
          <cell r="E70">
            <v>104761.9</v>
          </cell>
        </row>
        <row r="71">
          <cell r="A71">
            <v>8001</v>
          </cell>
          <cell r="B71" t="str">
            <v>N¾p ga gang</v>
          </cell>
          <cell r="C71" t="str">
            <v>c¸i</v>
          </cell>
          <cell r="D71">
            <v>150</v>
          </cell>
          <cell r="E71">
            <v>1800000</v>
          </cell>
        </row>
        <row r="72">
          <cell r="A72" t="str">
            <v>6125</v>
          </cell>
          <cell r="B72" t="str">
            <v>Nh©n c«ng 2,5/7</v>
          </cell>
          <cell r="C72" t="str">
            <v>c«ng</v>
          </cell>
          <cell r="D72">
            <v>2.5272000000000001</v>
          </cell>
          <cell r="E72">
            <v>11889</v>
          </cell>
          <cell r="F72">
            <v>30046</v>
          </cell>
        </row>
        <row r="73">
          <cell r="A73" t="str">
            <v>6140</v>
          </cell>
          <cell r="B73" t="str">
            <v>Nh©n c«ng 4/7</v>
          </cell>
          <cell r="C73" t="str">
            <v>c«ng</v>
          </cell>
          <cell r="D73">
            <v>7110.9864900000002</v>
          </cell>
          <cell r="E73">
            <v>13529</v>
          </cell>
          <cell r="F73">
            <v>96204536</v>
          </cell>
        </row>
        <row r="74">
          <cell r="A74" t="str">
            <v>6137</v>
          </cell>
          <cell r="B74" t="str">
            <v>Nh©n c«ng 3,7/7</v>
          </cell>
          <cell r="C74" t="str">
            <v>c«ng</v>
          </cell>
          <cell r="D74">
            <v>1330.2401199999999</v>
          </cell>
          <cell r="E74">
            <v>13194</v>
          </cell>
          <cell r="F74">
            <v>17551188</v>
          </cell>
        </row>
        <row r="75">
          <cell r="A75" t="str">
            <v>6006</v>
          </cell>
          <cell r="B75" t="str">
            <v>Nh©n c«ng bËc 4/7</v>
          </cell>
          <cell r="C75" t="str">
            <v>C«ng</v>
          </cell>
          <cell r="D75">
            <v>41484.468999999997</v>
          </cell>
          <cell r="E75">
            <v>14506</v>
          </cell>
          <cell r="F75">
            <v>601773707</v>
          </cell>
        </row>
        <row r="76">
          <cell r="A76" t="str">
            <v>6135</v>
          </cell>
          <cell r="B76" t="str">
            <v>Nh©n c«ng 3,5/7</v>
          </cell>
          <cell r="C76" t="str">
            <v>c«ng</v>
          </cell>
          <cell r="D76">
            <v>21174.588159999999</v>
          </cell>
          <cell r="E76">
            <v>12971</v>
          </cell>
          <cell r="F76">
            <v>274655583</v>
          </cell>
        </row>
        <row r="77">
          <cell r="A77" t="str">
            <v>6005</v>
          </cell>
          <cell r="B77" t="str">
            <v>Nh©n c«ng bËc 3,5/7</v>
          </cell>
          <cell r="C77" t="str">
            <v>C«ng</v>
          </cell>
          <cell r="D77">
            <v>796.27200000000005</v>
          </cell>
          <cell r="E77">
            <v>13809</v>
          </cell>
          <cell r="F77">
            <v>10995720</v>
          </cell>
        </row>
        <row r="78">
          <cell r="A78" t="str">
            <v>6127</v>
          </cell>
          <cell r="B78" t="str">
            <v>Nh©n c«ng 2,7/7</v>
          </cell>
          <cell r="C78" t="str">
            <v>c«ng</v>
          </cell>
          <cell r="D78">
            <v>28854.020789999999</v>
          </cell>
          <cell r="E78">
            <v>12099</v>
          </cell>
          <cell r="F78">
            <v>349104798</v>
          </cell>
        </row>
        <row r="79">
          <cell r="A79" t="str">
            <v>6130</v>
          </cell>
          <cell r="B79" t="str">
            <v>Nh©n c«ng 3/7</v>
          </cell>
          <cell r="C79" t="str">
            <v>c«ng</v>
          </cell>
          <cell r="D79">
            <v>24441.44425</v>
          </cell>
          <cell r="E79">
            <v>12413</v>
          </cell>
          <cell r="F79">
            <v>303391647</v>
          </cell>
        </row>
        <row r="80">
          <cell r="A80">
            <v>76</v>
          </cell>
          <cell r="B80" t="str">
            <v>M¸y thi c«ng</v>
          </cell>
          <cell r="C80" t="str">
            <v>c¸i</v>
          </cell>
          <cell r="D80">
            <v>50000</v>
          </cell>
        </row>
        <row r="81">
          <cell r="A81" t="str">
            <v>7576</v>
          </cell>
          <cell r="B81" t="str">
            <v>M¸y ®Çm b¸nh lèp 16T</v>
          </cell>
          <cell r="C81" t="str">
            <v>ca</v>
          </cell>
          <cell r="D81">
            <v>4.6080000000000003E-2</v>
          </cell>
          <cell r="E81">
            <v>432053</v>
          </cell>
          <cell r="F81">
            <v>19909</v>
          </cell>
        </row>
        <row r="82">
          <cell r="A82" t="str">
            <v>7544</v>
          </cell>
          <cell r="B82" t="str">
            <v>M¸y lu 10T</v>
          </cell>
          <cell r="C82" t="str">
            <v>ca</v>
          </cell>
          <cell r="D82">
            <v>8.6400000000000005E-2</v>
          </cell>
          <cell r="E82">
            <v>288922</v>
          </cell>
          <cell r="F82">
            <v>24963</v>
          </cell>
        </row>
        <row r="83">
          <cell r="A83" t="str">
            <v>7555</v>
          </cell>
          <cell r="B83" t="str">
            <v>M¸y r¶i 20T/h</v>
          </cell>
          <cell r="C83" t="str">
            <v>ca</v>
          </cell>
          <cell r="D83">
            <v>7.1999999999999995E-2</v>
          </cell>
          <cell r="E83">
            <v>450000</v>
          </cell>
          <cell r="F83">
            <v>32400</v>
          </cell>
        </row>
        <row r="84">
          <cell r="A84" t="str">
            <v>7539</v>
          </cell>
          <cell r="B84" t="str">
            <v>M¸y khoan 4,5kw</v>
          </cell>
          <cell r="C84" t="str">
            <v>ca</v>
          </cell>
          <cell r="D84">
            <v>1.5854999999999999</v>
          </cell>
          <cell r="E84">
            <v>72334</v>
          </cell>
          <cell r="F84">
            <v>114686</v>
          </cell>
        </row>
        <row r="85">
          <cell r="A85" t="str">
            <v>7545</v>
          </cell>
          <cell r="B85" t="str">
            <v>M¸y lu 8,5T</v>
          </cell>
          <cell r="C85" t="str">
            <v>ca</v>
          </cell>
          <cell r="D85">
            <v>9.6975999999999996</v>
          </cell>
          <cell r="E85">
            <v>252823</v>
          </cell>
          <cell r="F85">
            <v>2451776</v>
          </cell>
        </row>
        <row r="86">
          <cell r="A86" t="str">
            <v>7561</v>
          </cell>
          <cell r="B86" t="str">
            <v>M¸y vËn th¨ng 0,8T</v>
          </cell>
          <cell r="C86" t="str">
            <v>ca</v>
          </cell>
          <cell r="D86">
            <v>64.078770000000006</v>
          </cell>
          <cell r="E86">
            <v>54495</v>
          </cell>
          <cell r="F86">
            <v>3491973</v>
          </cell>
        </row>
        <row r="87">
          <cell r="A87" t="str">
            <v>7538</v>
          </cell>
          <cell r="B87" t="str">
            <v>M¸y hµn 23kw</v>
          </cell>
          <cell r="C87" t="str">
            <v>ca</v>
          </cell>
          <cell r="D87">
            <v>634.41282999999999</v>
          </cell>
          <cell r="E87">
            <v>77338</v>
          </cell>
          <cell r="F87">
            <v>49064219</v>
          </cell>
        </row>
        <row r="88">
          <cell r="A88" t="str">
            <v>7506</v>
          </cell>
          <cell r="B88" t="str">
            <v>CÇn cÈu 10T</v>
          </cell>
          <cell r="C88" t="str">
            <v>ca</v>
          </cell>
          <cell r="D88">
            <v>105.922</v>
          </cell>
          <cell r="E88">
            <v>615511</v>
          </cell>
          <cell r="F88">
            <v>65196156</v>
          </cell>
        </row>
        <row r="89">
          <cell r="A89" t="str">
            <v>7559</v>
          </cell>
          <cell r="B89" t="str">
            <v>M¸y trén 80L</v>
          </cell>
          <cell r="C89" t="str">
            <v>ca</v>
          </cell>
          <cell r="D89">
            <v>0.78237000000000001</v>
          </cell>
          <cell r="E89">
            <v>45294</v>
          </cell>
          <cell r="F89">
            <v>35437</v>
          </cell>
        </row>
        <row r="90">
          <cell r="A90" t="str">
            <v>7536</v>
          </cell>
          <cell r="B90" t="str">
            <v>M¸y c¾t uèn</v>
          </cell>
          <cell r="C90" t="str">
            <v>ca</v>
          </cell>
          <cell r="D90">
            <v>140.30824000000001</v>
          </cell>
          <cell r="E90">
            <v>39789</v>
          </cell>
          <cell r="F90">
            <v>5582725</v>
          </cell>
        </row>
        <row r="91">
          <cell r="A91" t="str">
            <v>7573</v>
          </cell>
          <cell r="B91" t="str">
            <v>M¸y ®Çm 25T</v>
          </cell>
          <cell r="C91" t="str">
            <v>ca</v>
          </cell>
          <cell r="D91">
            <v>221.21337</v>
          </cell>
          <cell r="E91">
            <v>580000</v>
          </cell>
          <cell r="F91">
            <v>128303755</v>
          </cell>
        </row>
        <row r="92">
          <cell r="A92" t="str">
            <v>7579</v>
          </cell>
          <cell r="B92" t="str">
            <v>M¸y ®Çm dïi 1,5kw</v>
          </cell>
          <cell r="C92" t="str">
            <v>ca</v>
          </cell>
          <cell r="D92">
            <v>410.88961999999998</v>
          </cell>
          <cell r="E92">
            <v>37456</v>
          </cell>
          <cell r="F92">
            <v>15390282</v>
          </cell>
        </row>
        <row r="93">
          <cell r="A93" t="str">
            <v>7558</v>
          </cell>
          <cell r="B93" t="str">
            <v>M¸y trén 250L</v>
          </cell>
          <cell r="C93" t="str">
            <v>ca</v>
          </cell>
          <cell r="D93">
            <v>641.54966999999999</v>
          </cell>
          <cell r="E93">
            <v>96272</v>
          </cell>
          <cell r="F93">
            <v>61763270</v>
          </cell>
        </row>
        <row r="94">
          <cell r="A94" t="str">
            <v>6805</v>
          </cell>
          <cell r="B94" t="str">
            <v>CÈu b¸nh h¬i 6,0T</v>
          </cell>
          <cell r="C94" t="str">
            <v>ca</v>
          </cell>
          <cell r="D94">
            <v>250.79310000000001</v>
          </cell>
          <cell r="E94">
            <v>357174</v>
          </cell>
        </row>
        <row r="95">
          <cell r="A95" t="str">
            <v>7586</v>
          </cell>
          <cell r="B95" t="str">
            <v>M¸y ñi 110cv</v>
          </cell>
          <cell r="C95" t="str">
            <v>ca</v>
          </cell>
          <cell r="D95">
            <v>145.06644</v>
          </cell>
          <cell r="E95">
            <v>669348</v>
          </cell>
          <cell r="F95">
            <v>97099931</v>
          </cell>
        </row>
        <row r="96">
          <cell r="A96" t="str">
            <v>7616</v>
          </cell>
          <cell r="B96" t="str">
            <v>¤ t« &lt;=5T</v>
          </cell>
          <cell r="C96" t="str">
            <v>ca</v>
          </cell>
          <cell r="D96">
            <v>717.91236000000004</v>
          </cell>
          <cell r="E96">
            <v>309841</v>
          </cell>
          <cell r="F96">
            <v>222438684</v>
          </cell>
        </row>
        <row r="97">
          <cell r="A97" t="str">
            <v>7565</v>
          </cell>
          <cell r="B97" t="str">
            <v>M¸y ®µo &lt;= 0,4m3</v>
          </cell>
          <cell r="C97" t="str">
            <v>ca</v>
          </cell>
          <cell r="D97">
            <v>521.92228</v>
          </cell>
          <cell r="E97">
            <v>393549</v>
          </cell>
          <cell r="F97">
            <v>205401991</v>
          </cell>
        </row>
        <row r="98">
          <cell r="A98" t="str">
            <v>.</v>
          </cell>
          <cell r="B98" t="str">
            <v>VËt liÖu kh¸c</v>
          </cell>
          <cell r="C98" t="str">
            <v>m2</v>
          </cell>
          <cell r="D98">
            <v>3800</v>
          </cell>
          <cell r="E98">
            <v>0</v>
          </cell>
          <cell r="F98">
            <v>50057508</v>
          </cell>
        </row>
        <row r="99">
          <cell r="A99" t="str">
            <v>.</v>
          </cell>
          <cell r="B99" t="str">
            <v>Nh©n c«ng kh¸c</v>
          </cell>
          <cell r="C99" t="str">
            <v>bÇu</v>
          </cell>
          <cell r="D99">
            <v>2000</v>
          </cell>
        </row>
        <row r="100">
          <cell r="A100" t="str">
            <v>.</v>
          </cell>
          <cell r="B100" t="str">
            <v>M¸y thi c«ng kh¸c</v>
          </cell>
          <cell r="C100" t="str">
            <v>bé</v>
          </cell>
          <cell r="D100">
            <v>170000</v>
          </cell>
          <cell r="E100">
            <v>0</v>
          </cell>
          <cell r="F100">
            <v>84087</v>
          </cell>
        </row>
        <row r="101">
          <cell r="A101" t="str">
            <v>TT</v>
          </cell>
          <cell r="B101" t="str">
            <v>VËn chuyÓn èng cèng D=400</v>
          </cell>
          <cell r="C101" t="str">
            <v>m</v>
          </cell>
          <cell r="D101">
            <v>636</v>
          </cell>
        </row>
        <row r="102">
          <cell r="A102" t="str">
            <v>TT2</v>
          </cell>
          <cell r="B102" t="str">
            <v>VËn chuyÓn èng cèng D=600</v>
          </cell>
          <cell r="C102" t="str">
            <v>m</v>
          </cell>
          <cell r="D102">
            <v>24</v>
          </cell>
        </row>
        <row r="103">
          <cell r="A103" t="str">
            <v>TT3</v>
          </cell>
          <cell r="B103" t="str">
            <v>VËn chuyÓn vµ l¾p ®Æt tÊm ®an cèng D=600</v>
          </cell>
          <cell r="C103" t="str">
            <v>tÊm</v>
          </cell>
          <cell r="D103">
            <v>24</v>
          </cell>
        </row>
        <row r="104">
          <cell r="A104" t="str">
            <v>a</v>
          </cell>
          <cell r="B104" t="str">
            <v>ChÌn khe cèng</v>
          </cell>
          <cell r="C104" t="str">
            <v>kg</v>
          </cell>
          <cell r="D104">
            <v>381</v>
          </cell>
        </row>
        <row r="105">
          <cell r="A105" t="str">
            <v>b</v>
          </cell>
          <cell r="B105" t="str">
            <v>§óc tÊm ®an mèi nèi</v>
          </cell>
          <cell r="C105" t="str">
            <v>tÊm</v>
          </cell>
          <cell r="D105">
            <v>44</v>
          </cell>
        </row>
        <row r="106">
          <cell r="A106" t="str">
            <v>TT4</v>
          </cell>
          <cell r="B106" t="str">
            <v>VËn chuyÓn mèi nèi</v>
          </cell>
          <cell r="C106" t="str">
            <v>tÊm</v>
          </cell>
          <cell r="D106">
            <v>44</v>
          </cell>
        </row>
        <row r="107">
          <cell r="A107" t="str">
            <v>TT5</v>
          </cell>
          <cell r="B107" t="str">
            <v>VËn chuyÓn èng cèng D800</v>
          </cell>
          <cell r="C107" t="str">
            <v>m</v>
          </cell>
          <cell r="D107">
            <v>452</v>
          </cell>
        </row>
        <row r="108">
          <cell r="A108" t="str">
            <v>TT3</v>
          </cell>
          <cell r="B108" t="str">
            <v>VËn chuyÓn vµ l¾p ®Æt tÊm ®an cèng D=600</v>
          </cell>
          <cell r="C108" t="str">
            <v>tÊm</v>
          </cell>
          <cell r="D108">
            <v>452</v>
          </cell>
        </row>
        <row r="109">
          <cell r="A109" t="str">
            <v>a</v>
          </cell>
          <cell r="B109" t="str">
            <v>ChÌn khe cèng</v>
          </cell>
          <cell r="C109" t="str">
            <v>kg</v>
          </cell>
          <cell r="D109">
            <v>12727</v>
          </cell>
        </row>
        <row r="110">
          <cell r="A110" t="str">
            <v>b</v>
          </cell>
          <cell r="B110" t="str">
            <v>§óc tÊm ®an mèi nèi</v>
          </cell>
          <cell r="C110" t="str">
            <v>tÊm</v>
          </cell>
          <cell r="D110">
            <v>1281</v>
          </cell>
        </row>
        <row r="111">
          <cell r="A111" t="str">
            <v>TT4</v>
          </cell>
          <cell r="B111" t="str">
            <v>VËn chuyÓn mèi nèi</v>
          </cell>
          <cell r="C111" t="str">
            <v>tÊm</v>
          </cell>
          <cell r="D111">
            <v>1281</v>
          </cell>
        </row>
        <row r="112">
          <cell r="A112" t="str">
            <v>TT5</v>
          </cell>
          <cell r="B112" t="str">
            <v>VËn chuyÓn èng cèng D1000</v>
          </cell>
          <cell r="C112" t="str">
            <v>m</v>
          </cell>
          <cell r="D112">
            <v>1502</v>
          </cell>
        </row>
        <row r="113">
          <cell r="A113" t="str">
            <v>TT3</v>
          </cell>
          <cell r="B113" t="str">
            <v>VËn chuyÓn vµ l¾p ®Æt tÊm ®an cèng D=600</v>
          </cell>
          <cell r="C113" t="str">
            <v>tÊm</v>
          </cell>
          <cell r="D113">
            <v>1502</v>
          </cell>
        </row>
        <row r="114">
          <cell r="A114" t="str">
            <v>a</v>
          </cell>
          <cell r="B114" t="str">
            <v>chÌn khe cèng</v>
          </cell>
          <cell r="C114" t="str">
            <v>c¸i</v>
          </cell>
          <cell r="D114">
            <v>2300</v>
          </cell>
        </row>
        <row r="115">
          <cell r="A115" t="str">
            <v>b</v>
          </cell>
          <cell r="B115" t="str">
            <v>§óc tÊm ®an mèi nèi</v>
          </cell>
          <cell r="C115" t="str">
            <v>tÊm</v>
          </cell>
          <cell r="D115">
            <v>4389</v>
          </cell>
        </row>
        <row r="116">
          <cell r="A116" t="str">
            <v>TT4</v>
          </cell>
          <cell r="B116" t="str">
            <v>VËn chuyÓn mèi nèi</v>
          </cell>
          <cell r="C116" t="str">
            <v>tÊm</v>
          </cell>
          <cell r="D116">
            <v>4389</v>
          </cell>
        </row>
        <row r="117">
          <cell r="A117" t="str">
            <v>TT5</v>
          </cell>
          <cell r="B117" t="str">
            <v>VËn chuyÓn èng cèng D1000</v>
          </cell>
          <cell r="C117" t="str">
            <v>m</v>
          </cell>
          <cell r="D117">
            <v>31</v>
          </cell>
        </row>
        <row r="118">
          <cell r="A118" t="str">
            <v>TT3</v>
          </cell>
          <cell r="B118" t="str">
            <v>VËn chuyÓn vµ l¾p ®Æt tÊm ®an cèng D=600</v>
          </cell>
          <cell r="C118" t="str">
            <v>tÊm</v>
          </cell>
          <cell r="D118">
            <v>31</v>
          </cell>
        </row>
        <row r="119">
          <cell r="A119" t="str">
            <v>a</v>
          </cell>
          <cell r="B119" t="str">
            <v>chÌn khe cèng</v>
          </cell>
          <cell r="C119" t="str">
            <v>c¸i</v>
          </cell>
          <cell r="D119">
            <v>2200000</v>
          </cell>
        </row>
        <row r="120">
          <cell r="A120" t="str">
            <v>b</v>
          </cell>
          <cell r="B120" t="str">
            <v>§óc tÊm ®an mèi nèi</v>
          </cell>
          <cell r="C120" t="str">
            <v>tÊm</v>
          </cell>
          <cell r="D120">
            <v>90</v>
          </cell>
        </row>
        <row r="121">
          <cell r="A121" t="str">
            <v>TT4</v>
          </cell>
          <cell r="B121" t="str">
            <v>VËn chuyÓn mèi nèi</v>
          </cell>
          <cell r="C121" t="str">
            <v>tÊm</v>
          </cell>
          <cell r="D121">
            <v>90</v>
          </cell>
        </row>
        <row r="122">
          <cell r="A122" t="str">
            <v>TT5</v>
          </cell>
          <cell r="B122" t="str">
            <v>VËn chuyÓn èng cèng D1200</v>
          </cell>
          <cell r="C122" t="str">
            <v>m</v>
          </cell>
          <cell r="D122">
            <v>3334</v>
          </cell>
        </row>
        <row r="123">
          <cell r="A123" t="str">
            <v>TT3</v>
          </cell>
          <cell r="B123" t="str">
            <v>VËn chuyÓn vµ l¾p ®Æt tÊm ®an cèng D=600</v>
          </cell>
          <cell r="C123" t="str">
            <v>tÊm</v>
          </cell>
          <cell r="D123">
            <v>3334</v>
          </cell>
        </row>
        <row r="124">
          <cell r="A124" t="str">
            <v>a</v>
          </cell>
          <cell r="B124" t="str">
            <v>chÌn khe cèng</v>
          </cell>
          <cell r="C124" t="str">
            <v>c¸i</v>
          </cell>
          <cell r="D124">
            <v>1400</v>
          </cell>
        </row>
        <row r="125">
          <cell r="A125" t="str">
            <v>b</v>
          </cell>
          <cell r="B125" t="str">
            <v>§óc tÊm ®an mèi nèi</v>
          </cell>
          <cell r="C125" t="str">
            <v>bé</v>
          </cell>
          <cell r="D125">
            <v>9768</v>
          </cell>
        </row>
        <row r="126">
          <cell r="A126" t="str">
            <v>TT4</v>
          </cell>
          <cell r="B126" t="str">
            <v>VËn chuyÓn mèi nèi</v>
          </cell>
          <cell r="C126" t="str">
            <v>tÊm</v>
          </cell>
          <cell r="D126">
            <v>9768</v>
          </cell>
        </row>
        <row r="127">
          <cell r="A127" t="str">
            <v>TT5</v>
          </cell>
          <cell r="B127" t="str">
            <v>VËn chuyÓn èng cèng D1200</v>
          </cell>
          <cell r="C127" t="str">
            <v>m</v>
          </cell>
          <cell r="D127">
            <v>3307</v>
          </cell>
        </row>
        <row r="128">
          <cell r="A128" t="str">
            <v>TT3</v>
          </cell>
          <cell r="B128" t="str">
            <v>VËn chuyÓn vµ l¾p ®Æt tÊm ®an cèng D=600</v>
          </cell>
          <cell r="C128" t="str">
            <v>tÊm</v>
          </cell>
          <cell r="D128">
            <v>3307</v>
          </cell>
        </row>
        <row r="129">
          <cell r="A129" t="str">
            <v>a</v>
          </cell>
          <cell r="B129" t="str">
            <v>chÌn khe cèng</v>
          </cell>
          <cell r="C129" t="str">
            <v>c¸i</v>
          </cell>
          <cell r="D129">
            <v>1500</v>
          </cell>
        </row>
        <row r="130">
          <cell r="A130" t="str">
            <v>b</v>
          </cell>
          <cell r="B130" t="str">
            <v>§óc tÊm ®an mèi nèi</v>
          </cell>
          <cell r="C130" t="str">
            <v>c¸i</v>
          </cell>
          <cell r="D130">
            <v>9681</v>
          </cell>
        </row>
        <row r="131">
          <cell r="A131" t="str">
            <v>TT4</v>
          </cell>
          <cell r="B131" t="str">
            <v>VËn chuyÓn mèi nèi</v>
          </cell>
          <cell r="C131" t="str">
            <v>tÊm</v>
          </cell>
          <cell r="D131">
            <v>9681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XL4Poppy"/>
      <sheetName val="GVL"/>
      <sheetName val="GV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-tctc"/>
      <sheetName val="SLmay"/>
      <sheetName val="phantich"/>
      <sheetName val="NCcau+duong"/>
      <sheetName val="phu cap"/>
      <sheetName val="VCvatlieu"/>
      <sheetName val="denbu"/>
      <sheetName val="dongia(dg)"/>
      <sheetName val="DT(TW)"/>
      <sheetName val="TH"/>
      <sheetName val="chiphi khac"/>
      <sheetName val="nhan cong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ung ten TD"/>
      <sheetName val="khung ten LM7"/>
      <sheetName val="khung ten HC Q3"/>
      <sheetName val="khung ten HC HOAI NHON"/>
      <sheetName val="khung ten HC Hoa Khanh"/>
      <sheetName val="Khung ten TK"/>
      <sheetName val="thong ke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-PANEL"/>
    </sheetNames>
    <sheetDataSet>
      <sheetData sheetId="0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TBA"/>
      <sheetName val="Netbook"/>
      <sheetName val="DZ"/>
      <sheetName val="XL4Poppy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00000000"/>
      <sheetName val="PA_coso"/>
      <sheetName val="PA_von"/>
      <sheetName val="PA_nhucau"/>
      <sheetName val="PA_TH"/>
      <sheetName val="THDT"/>
      <sheetName val="XL35"/>
      <sheetName val="Sheet2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Thep be"/>
      <sheetName val="Thep than"/>
      <sheetName val="Thep xa mu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km248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Congty"/>
      <sheetName val="VPPN"/>
      <sheetName val="XN74"/>
      <sheetName val="XN54"/>
      <sheetName val="XN33"/>
      <sheetName val="NK96"/>
      <sheetName val="XL4Test5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Sheet6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PhieuKT"/>
      <sheetName val="tb1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KM"/>
      <sheetName val="KHOANMUC"/>
      <sheetName val="QTNC"/>
      <sheetName val="CPQL"/>
      <sheetName val="SANLUONG"/>
      <sheetName val="SSCP-SL"/>
      <sheetName val="CPSX"/>
      <sheetName val="CDSL (2)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Thau"/>
      <sheetName val="CT-BT"/>
      <sheetName val="Xa"/>
      <sheetName val="D1"/>
      <sheetName val="D2"/>
      <sheetName val="D3"/>
      <sheetName val="D4"/>
      <sheetName val="D5"/>
      <sheetName val="D6"/>
      <sheetName val="Tay ninh"/>
      <sheetName val="A.Duc"/>
      <sheetName val="TH"/>
      <sheetName val="TH2003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onghop"/>
      <sheetName val="Sheet7"/>
      <sheetName val="TH du toan "/>
      <sheetName val="Du toan "/>
      <sheetName val="C.Tinh"/>
      <sheetName val="TK_cap"/>
      <sheetName val="Sheet10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phan tich DG"/>
      <sheetName val="gia vat lieu"/>
      <sheetName val="gia xe may"/>
      <sheetName val="gia nhan cong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HD1"/>
      <sheetName val="HD4"/>
      <sheetName val="HD3"/>
      <sheetName val="HD5"/>
      <sheetName val="HD7"/>
      <sheetName val="HD6"/>
      <sheetName val="HD2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BangTH"/>
      <sheetName val="Xaylap "/>
      <sheetName val="Nhan cong"/>
      <sheetName val="Thietbi"/>
      <sheetName val="Diengiai"/>
      <sheetName val="Vanchuyen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THU T12"/>
      <sheetName val="CHI T12"/>
      <sheetName val="THU T11"/>
      <sheetName val="CHI T11"/>
      <sheetName val="THU T10"/>
      <sheetName val="CHI T10"/>
      <sheetName val="THU T9"/>
      <sheetName val="CHI T9"/>
      <sheetName val="THU T8"/>
      <sheetName val="CHI T8"/>
      <sheetName val="THU T7"/>
      <sheetName val="CHI T7"/>
      <sheetName val="THU T6"/>
      <sheetName val="CHI T6"/>
      <sheetName val="THU T5"/>
      <sheetName val="CHI T5"/>
      <sheetName val="THU T4"/>
      <sheetName val="CHI T4"/>
      <sheetName val="THU T3"/>
      <sheetName val="CHI T3"/>
      <sheetName val="THU T2"/>
      <sheetName val="CHI T2"/>
      <sheetName val="THU T1"/>
      <sheetName val="CHI T1"/>
      <sheetName val="CDSM (2)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XXXXXX_xda24_X"/>
      <sheetName val="HHVt "/>
      <sheetName val="Co~g hop 1,5x1,5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amPha"/>
      <sheetName val="MongCai"/>
      <sheetName val="30000000"/>
      <sheetName val="40000000"/>
      <sheetName val="50000000"/>
      <sheetName val="60000000"/>
      <sheetName val="70000000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CT 03"/>
      <sheetName val="TH 03"/>
      <sheetName val=" KQTH quy hoach 135"/>
      <sheetName val="Bao cao KQTH quy hoach 135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chamcong"/>
      <sheetName val="Baocao"/>
      <sheetName val="Heso 3-2004 (2)"/>
      <sheetName val="CV di trong  dong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DMTK"/>
      <sheetName val="DMKH"/>
      <sheetName val="DMNB"/>
      <sheetName val="DMNV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Nhap lieu"/>
      <sheetName val="PGT"/>
      <sheetName val="Tien dien"/>
      <sheetName val="Thue GTGT"/>
      <sheetName val="01"/>
      <sheetName val="02.1"/>
      <sheetName val="2.1"/>
      <sheetName val="2.3"/>
      <sheetName val="02.3"/>
      <sheetName val="05"/>
      <sheetName val="03"/>
      <sheetName val="06"/>
      <sheetName val="B 01"/>
      <sheetName val="B 03"/>
      <sheetName val="D 13"/>
      <sheetName val="Q-03"/>
      <sheetName val="Q-04"/>
      <sheetName val="Q-05"/>
      <sheetName val="D15"/>
      <sheetName val="D20"/>
      <sheetName val="D19"/>
      <sheetName val="Km282-Km_x0003__x0000_3"/>
      <sheetName val="Co quan TCT"/>
      <sheetName val="BOT"/>
      <sheetName val="BOT (PA chon)"/>
      <sheetName val="Yaly &amp; Ri Ninh"/>
      <sheetName val="Thuy dien Na Loi"/>
      <sheetName val="Coc 6"/>
      <sheetName val="TH_BQ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DTCT"/>
      <sheetName val="PTVT"/>
      <sheetName val="THVT"/>
      <sheetName val="T.K H.T.T5"/>
      <sheetName val="T.K T7"/>
      <sheetName val="TK T6"/>
      <sheetName val="T.K T5"/>
      <sheetName val="Bang thong ke hang ton"/>
      <sheetName val="thong ke "/>
      <sheetName val="T.KT04"/>
      <sheetName val="20+590"/>
      <sheetName val="20+1218"/>
      <sheetName val="22+456"/>
      <sheetName val="23+200"/>
      <sheetName val="23+327"/>
      <sheetName val="23+468"/>
      <sheetName val="23+563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H102">
            <v>0</v>
          </cell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  <cell r="AU103">
            <v>4.2915242876481667E-310</v>
          </cell>
          <cell r="AV103">
            <v>406.001220703125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 refreshError="1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."/>
      <sheetName val="DI-ESTI"/>
      <sheetName val="切割 MTL"/>
      <sheetName val="切割 DI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XL4Poppy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Test5"/>
      <sheetName val="XL4Poppy (2)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Sheet1"/>
      <sheetName val="Cmay"/>
      <sheetName val="VL (2)"/>
      <sheetName val="May (2)"/>
      <sheetName val="GVLBo"/>
      <sheetName val="Bthkl"/>
      <sheetName val="KM247"/>
      <sheetName val="km248"/>
      <sheetName val="tong hop"/>
      <sheetName val="phan tich DG"/>
      <sheetName val="gia vat lieu"/>
      <sheetName val="gia xe may"/>
      <sheetName val="gia nhan cong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00000000"/>
      <sheetName val="Congty"/>
      <sheetName val="VPPN"/>
      <sheetName val="XN74"/>
      <sheetName val="XN54"/>
      <sheetName val="XN33"/>
      <sheetName val="NK96"/>
      <sheetName val="Chart1"/>
      <sheetName val="Du an nut So"/>
      <sheetName val="Du an nut vong"/>
      <sheetName val="Du an nut Nam cau Tlong"/>
      <sheetName val="Duong kim lien 0 cho dua"/>
      <sheetName val="Du an KTDC Nam trung yen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Sheet2"/>
      <sheetName val="THANG 09"/>
      <sheetName val="THANG 1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C47-456"/>
      <sheetName val="C46"/>
      <sheetName val="C47-PII"/>
      <sheetName val="DI_ESTI"/>
      <sheetName val="caodothietke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10000000"/>
      <sheetName val="20000000"/>
      <sheetName val="DTCT"/>
      <sheetName val="PTVT"/>
      <sheetName val="THDT"/>
      <sheetName val="THVT"/>
      <sheetName val="THGT"/>
      <sheetName val="Nhap"/>
      <sheetName val="Thang 8"/>
      <sheetName val="Macro1"/>
      <sheetName val="Macro2"/>
      <sheetName val="Macro3"/>
      <sheetName val="Duong con' vu hcm (8)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Qheet3"/>
      <sheetName val="TRUC TIEP"/>
      <sheetName val="GIAN TIEP"/>
      <sheetName val="HOP DONG"/>
      <sheetName val="CON LINH"/>
      <sheetName val="RPT"/>
      <sheetName val="IBASE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khuong"/>
      <sheetName val="du"/>
      <sheetName val="dien"/>
      <sheetName val="dung"/>
      <sheetName val="NO-BANG"/>
      <sheetName val="ton kho"/>
      <sheetName val="bang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MTL$-INTER"/>
      <sheetName val="ESTI_"/>
      <sheetName val="MAU_A"/>
      <sheetName val="MAU_B"/>
      <sheetName val="MAU_C"/>
      <sheetName val="MAU E -XCD"/>
      <sheetName val="MAU E -TDS1"/>
      <sheetName val="MAU E- NDH"/>
      <sheetName val="Daily"/>
      <sheetName val="Data-input"/>
      <sheetName val="Data"/>
      <sheetName val="TK12"/>
      <sheetName val="Giao"/>
      <sheetName val="CHIET TINH"/>
      <sheetName val="Bang Gia VL"/>
      <sheetName val="Tong Hop KP"/>
      <sheetName val=" DON GIA"/>
      <sheetName val="CHIET TINH THEO KH.SAT"/>
      <sheetName val="TCT DIEN LUC (EVN)"/>
      <sheetName val="TH9"/>
      <sheetName val="TH12"/>
      <sheetName val="canh (2)"/>
      <sheetName val="canh"/>
      <sheetName val="Bang Don gia II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30000000"/>
      <sheetName val="40000000"/>
      <sheetName val="50000000"/>
      <sheetName val="60000000"/>
      <sheetName val="XXXXXXX0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lienbao1"/>
      <sheetName val="bangrap"/>
      <sheetName val="Lie Bao2"/>
      <sheetName val="lien bao"/>
      <sheetName val="duong BR"/>
      <sheetName val="nhakhoBR"/>
      <sheetName val="trung 5"/>
      <sheetName val="QLoi"/>
      <sheetName val="PTHT"/>
      <sheetName val="Yenlac"/>
      <sheetName val="telo"/>
      <sheetName val="TINHNEN"/>
      <sheetName val="Nen VN"/>
      <sheetName val="THAYCTO "/>
      <sheetName val="Chart2"/>
      <sheetName val="Sheet4"/>
      <sheetName val="?? MTL"/>
      <sheetName val="?? DI"/>
      <sheetName val="특외대"/>
      <sheetName val="BTH Phieu thu"/>
      <sheetName val="BTH Phieu chi"/>
      <sheetName val="NK-SC"/>
      <sheetName val="SCT NVL"/>
      <sheetName val="NK SO CAI"/>
      <sheetName val="SCT TK 331"/>
      <sheetName val="So CFSXKD"/>
      <sheetName val="SCT  TK 131"/>
      <sheetName val="So TGNH 2003"/>
      <sheetName val="So quy TM 2002"/>
      <sheetName val="The tinh Z"/>
      <sheetName val="So kho nguyen vat lieu"/>
      <sheetName val="BTH NVL"/>
      <sheetName val="So theo doi thue GTGT"/>
      <sheetName val="BC thanh QT hoa don nam 2003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KEM NGHIEN GIA CONG"/>
      <sheetName val="Vat tu"/>
      <sheetName val="MI2A-A"/>
      <sheetName val="MI3"/>
      <sheetName val="MI20(1)"/>
      <sheetName val="gvl"/>
      <sheetName val="Dthu"/>
      <sheetName val="415"/>
      <sheetName val="421"/>
      <sheetName val="511.BT"/>
      <sheetName val="631.BT"/>
      <sheetName val="642"/>
      <sheetName val="NKSC1"/>
      <sheetName val="CDKT"/>
      <sheetName val="BCDTCP"/>
      <sheetName val="Bang 聧ia ca may"/>
      <sheetName val="giathanh1"/>
      <sheetName val="SBD-Phach"/>
    </sheetNames>
    <sheetDataSet>
      <sheetData sheetId="0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1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O81">
            <v>2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0</v>
          </cell>
          <cell r="G90">
            <v>0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0</v>
          </cell>
          <cell r="G130">
            <v>0</v>
          </cell>
          <cell r="H130">
            <v>0</v>
          </cell>
          <cell r="I130">
            <v>7.0000000000000007E-2</v>
          </cell>
          <cell r="J130">
            <v>0</v>
          </cell>
          <cell r="K130">
            <v>7.0000000000000007E-2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2</v>
          </cell>
          <cell r="Q130">
            <v>0</v>
          </cell>
          <cell r="R130">
            <v>0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J146">
            <v>0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0</v>
          </cell>
          <cell r="G175">
            <v>0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J190">
            <v>8.42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J218">
            <v>0.3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J220">
            <v>0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0</v>
          </cell>
          <cell r="G223">
            <v>0</v>
          </cell>
          <cell r="H223">
            <v>0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0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H269">
            <v>0</v>
          </cell>
          <cell r="I269">
            <v>7.0000000000000007E-2</v>
          </cell>
          <cell r="J269">
            <v>0</v>
          </cell>
          <cell r="K269">
            <v>7.0000000000000007E-2</v>
          </cell>
          <cell r="M269">
            <v>0</v>
          </cell>
          <cell r="P269">
            <v>2</v>
          </cell>
          <cell r="R269">
            <v>0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0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O344">
            <v>160</v>
          </cell>
          <cell r="P344">
            <v>4</v>
          </cell>
          <cell r="Q344">
            <v>0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0</v>
          </cell>
          <cell r="G415">
            <v>0</v>
          </cell>
          <cell r="H415">
            <v>0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0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0</v>
          </cell>
          <cell r="G418">
            <v>0</v>
          </cell>
          <cell r="H418">
            <v>0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0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0</v>
          </cell>
          <cell r="G429">
            <v>0</v>
          </cell>
          <cell r="H429">
            <v>0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0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0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0</v>
          </cell>
          <cell r="G440">
            <v>0</v>
          </cell>
          <cell r="H440">
            <v>0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0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0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0</v>
          </cell>
          <cell r="G451">
            <v>0</v>
          </cell>
          <cell r="H451">
            <v>0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0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0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0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Tong Hop-QL"/>
      <sheetName val="Tong Hop-DT"/>
      <sheetName val="Tong Hop-Tinh"/>
      <sheetName val="SPL4-TOTAL"/>
      <sheetName val="THKL"/>
      <sheetName val="KL-MB"/>
      <sheetName val="KL-MT"/>
      <sheetName val="KL-MN"/>
      <sheetName val="APP.ROAD"/>
      <sheetName val="Calculation"/>
      <sheetName val="Coc 32 m(Cho mo)"/>
      <sheetName val="SPL4_TOTAL"/>
      <sheetName val="CTyXD so1chaolai"/>
      <sheetName val="CTYXDso1(hc)"/>
      <sheetName val="Chenh KL"/>
      <sheetName val="Chenh KL (BT-Thep)"/>
      <sheetName val="Don gia chi tiet"/>
      <sheetName val="Du toan"/>
      <sheetName val="Phan tich vat tu"/>
      <sheetName val="Tong hop vat tu"/>
      <sheetName val="Gia tri vat tu"/>
      <sheetName val="Chenh lech vat tu"/>
      <sheetName val="Chi phi van chuyen"/>
      <sheetName val="Tong hop kinh phi"/>
      <sheetName val="Tu van Thiet ke"/>
      <sheetName val="Tien do thi cong"/>
      <sheetName val="Bia du toan"/>
      <sheetName val="Tro giup"/>
      <sheetName val="Config"/>
      <sheetName val="00000000"/>
      <sheetName val="10000000"/>
      <sheetName val="XL4Test5"/>
    </sheetNames>
    <sheetDataSet>
      <sheetData sheetId="0"/>
      <sheetData sheetId="1"/>
      <sheetData sheetId="2"/>
      <sheetData sheetId="3"/>
      <sheetData sheetId="4" refreshError="1">
        <row r="7">
          <cell r="C7" t="str">
            <v>Hµ Giang</v>
          </cell>
          <cell r="D7">
            <v>1</v>
          </cell>
        </row>
        <row r="8">
          <cell r="C8" t="str">
            <v>Tuyªn Quang</v>
          </cell>
          <cell r="D8">
            <v>1</v>
          </cell>
        </row>
        <row r="9">
          <cell r="C9" t="str">
            <v>Cao B»ng</v>
          </cell>
          <cell r="D9">
            <v>1</v>
          </cell>
        </row>
        <row r="10">
          <cell r="C10" t="str">
            <v>L¹ng S¬n</v>
          </cell>
          <cell r="D10">
            <v>1</v>
          </cell>
        </row>
        <row r="11">
          <cell r="C11" t="str">
            <v>Lai Ch©u</v>
          </cell>
          <cell r="D11">
            <v>1</v>
          </cell>
        </row>
        <row r="12">
          <cell r="C12" t="str">
            <v>Lµo Cai</v>
          </cell>
          <cell r="D12">
            <v>1</v>
          </cell>
        </row>
        <row r="13">
          <cell r="C13" t="str">
            <v>Yªn B¸i</v>
          </cell>
        </row>
        <row r="14">
          <cell r="C14" t="str">
            <v>B¾c K¹n</v>
          </cell>
          <cell r="D14">
            <v>1</v>
          </cell>
        </row>
        <row r="15">
          <cell r="C15" t="str">
            <v>Th¸i Nguyªn</v>
          </cell>
          <cell r="D15">
            <v>1</v>
          </cell>
        </row>
        <row r="16">
          <cell r="C16" t="str">
            <v>S¬n La</v>
          </cell>
        </row>
        <row r="17">
          <cell r="C17" t="str">
            <v>Hßa B×nh</v>
          </cell>
        </row>
        <row r="18">
          <cell r="C18" t="str">
            <v>Phó Thä</v>
          </cell>
          <cell r="D18">
            <v>1</v>
          </cell>
        </row>
        <row r="19">
          <cell r="C19" t="str">
            <v>VÜnh Phóc</v>
          </cell>
          <cell r="D19">
            <v>1</v>
          </cell>
        </row>
        <row r="20">
          <cell r="C20" t="str">
            <v>B¾c Giang</v>
          </cell>
        </row>
        <row r="21">
          <cell r="C21" t="str">
            <v>B¾c Ninh</v>
          </cell>
        </row>
        <row r="22">
          <cell r="C22" t="str">
            <v>Qu¶ng Ninh</v>
          </cell>
        </row>
        <row r="23">
          <cell r="C23" t="str">
            <v>Hµ Néi</v>
          </cell>
        </row>
        <row r="24">
          <cell r="C24" t="str">
            <v>H¶o Phßng</v>
          </cell>
        </row>
        <row r="25">
          <cell r="C25" t="str">
            <v>H¶i D­¬ng</v>
          </cell>
        </row>
        <row r="26">
          <cell r="C26" t="str">
            <v>H­ng Yªn</v>
          </cell>
        </row>
        <row r="27">
          <cell r="C27" t="str">
            <v>Hµ T©y</v>
          </cell>
        </row>
        <row r="28">
          <cell r="C28" t="str">
            <v>Th¸i B×nh</v>
          </cell>
        </row>
        <row r="29">
          <cell r="C29" t="str">
            <v>Hµ Nam</v>
          </cell>
        </row>
        <row r="30">
          <cell r="C30" t="str">
            <v>Nam §Þnh</v>
          </cell>
        </row>
        <row r="31">
          <cell r="C31" t="str">
            <v>Ninh B×nh</v>
          </cell>
        </row>
        <row r="32">
          <cell r="C32" t="str">
            <v>Thanh Hãa</v>
          </cell>
          <cell r="D32">
            <v>1</v>
          </cell>
        </row>
        <row r="33">
          <cell r="C33" t="str">
            <v>NghÖ An</v>
          </cell>
          <cell r="D33">
            <v>1</v>
          </cell>
        </row>
        <row r="34">
          <cell r="C34" t="str">
            <v>Hµ TÜnh</v>
          </cell>
          <cell r="D34">
            <v>1</v>
          </cell>
        </row>
        <row r="35">
          <cell r="C35" t="str">
            <v>Qu¶ng B×nh</v>
          </cell>
        </row>
        <row r="36">
          <cell r="C36" t="str">
            <v>Qu¶ng TrÞ</v>
          </cell>
          <cell r="D36">
            <v>1</v>
          </cell>
        </row>
        <row r="37">
          <cell r="C37" t="str">
            <v>TT HuÕ</v>
          </cell>
        </row>
        <row r="38">
          <cell r="C38" t="str">
            <v>§µ N½ng</v>
          </cell>
        </row>
        <row r="39">
          <cell r="C39" t="str">
            <v>Qu¶ng Nam</v>
          </cell>
          <cell r="D39">
            <v>1</v>
          </cell>
        </row>
        <row r="40">
          <cell r="C40" t="str">
            <v>Qu¶ng Ng·i</v>
          </cell>
          <cell r="D40">
            <v>1</v>
          </cell>
        </row>
        <row r="41">
          <cell r="C41" t="str">
            <v>B×nh §Þnh</v>
          </cell>
        </row>
        <row r="42">
          <cell r="C42" t="str">
            <v>Phó Yªn</v>
          </cell>
          <cell r="D42">
            <v>1</v>
          </cell>
        </row>
        <row r="43">
          <cell r="C43" t="str">
            <v>Kh¸nh Hßa</v>
          </cell>
        </row>
        <row r="44">
          <cell r="C44" t="str">
            <v>Ninh ThuËn</v>
          </cell>
          <cell r="D44">
            <v>1</v>
          </cell>
        </row>
        <row r="45">
          <cell r="C45" t="str">
            <v>B×nh ThuËn</v>
          </cell>
        </row>
        <row r="46">
          <cell r="C46" t="str">
            <v>Gia Lai</v>
          </cell>
        </row>
        <row r="47">
          <cell r="C47" t="str">
            <v>Kon Tum</v>
          </cell>
        </row>
        <row r="48">
          <cell r="C48" t="str">
            <v>§¨k L¨k</v>
          </cell>
          <cell r="D48">
            <v>1</v>
          </cell>
        </row>
        <row r="49">
          <cell r="C49" t="str">
            <v>L©m §ång</v>
          </cell>
        </row>
        <row r="50">
          <cell r="C50" t="str">
            <v>Hå ChÝ Minh</v>
          </cell>
        </row>
        <row r="51">
          <cell r="C51" t="str">
            <v>B×nh D­¬ng</v>
          </cell>
        </row>
        <row r="52">
          <cell r="C52" t="str">
            <v>B×nh Ph­íc</v>
          </cell>
        </row>
        <row r="53">
          <cell r="C53" t="str">
            <v>T©y Ninh</v>
          </cell>
        </row>
        <row r="54">
          <cell r="C54" t="str">
            <v>§ång Nai</v>
          </cell>
        </row>
        <row r="55">
          <cell r="C55" t="str">
            <v>Bµ RÞa Vòng Tµu</v>
          </cell>
        </row>
        <row r="56">
          <cell r="C56" t="str">
            <v>Long An</v>
          </cell>
        </row>
        <row r="57">
          <cell r="C57" t="str">
            <v>§ång Th¸p</v>
          </cell>
        </row>
        <row r="58">
          <cell r="C58" t="str">
            <v>An Giang</v>
          </cell>
        </row>
        <row r="59">
          <cell r="C59" t="str">
            <v>TiÒn Giang</v>
          </cell>
        </row>
        <row r="60">
          <cell r="C60" t="str">
            <v>BÕn Tre</v>
          </cell>
          <cell r="D60">
            <v>1</v>
          </cell>
        </row>
        <row r="61">
          <cell r="C61" t="str">
            <v>VÜnh Long</v>
          </cell>
        </row>
        <row r="62">
          <cell r="C62" t="str">
            <v>Trµ Vinh</v>
          </cell>
          <cell r="D62">
            <v>1</v>
          </cell>
        </row>
        <row r="63">
          <cell r="C63" t="str">
            <v>CÇn Th¬</v>
          </cell>
        </row>
        <row r="64">
          <cell r="C64" t="str">
            <v>Sãc Tr¨ng</v>
          </cell>
          <cell r="D64">
            <v>1</v>
          </cell>
        </row>
        <row r="65">
          <cell r="C65" t="str">
            <v>Kiªn Giang</v>
          </cell>
        </row>
        <row r="66">
          <cell r="C66" t="str">
            <v>B¹c Liªu</v>
          </cell>
          <cell r="D66">
            <v>1</v>
          </cell>
        </row>
        <row r="67">
          <cell r="C67" t="str">
            <v>Cµ Mau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nluong"/>
      <sheetName val="kinhphi"/>
      <sheetName val="ptvt"/>
      <sheetName val="sat"/>
      <sheetName val="clechvt"/>
      <sheetName val="dongia"/>
      <sheetName val="tonghop"/>
      <sheetName val="ctttc"/>
      <sheetName val="bia"/>
      <sheetName val="Loai-4-5"/>
      <sheetName val="om"/>
      <sheetName val="OM6"/>
      <sheetName val="om05"/>
      <sheetName val="NSU"/>
      <sheetName val="XL4Test5"/>
      <sheetName val="00000000"/>
    </sheetNames>
    <sheetDataSet>
      <sheetData sheetId="0"/>
      <sheetData sheetId="1"/>
      <sheetData sheetId="2"/>
      <sheetData sheetId="3" refreshError="1"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</row>
        <row r="7">
          <cell r="B7" t="str">
            <v>I. NÃÖN MOÏNG :</v>
          </cell>
          <cell r="C7">
            <v>0</v>
          </cell>
          <cell r="E7">
            <v>190.81</v>
          </cell>
          <cell r="F7">
            <v>0</v>
          </cell>
          <cell r="G7">
            <v>0</v>
          </cell>
          <cell r="H7">
            <v>136.96</v>
          </cell>
          <cell r="I7">
            <v>1218.76</v>
          </cell>
          <cell r="J7">
            <v>0</v>
          </cell>
          <cell r="K7">
            <v>23.45</v>
          </cell>
        </row>
        <row r="8">
          <cell r="A8">
            <v>1</v>
          </cell>
          <cell r="B8" t="str">
            <v xml:space="preserve">Gia cäng sàõt theïp f &lt;= 10 moïng cäüt </v>
          </cell>
          <cell r="C8" t="str">
            <v>kg</v>
          </cell>
          <cell r="D8">
            <v>12.43</v>
          </cell>
          <cell r="E8">
            <v>12.43</v>
          </cell>
          <cell r="K8">
            <v>0.27</v>
          </cell>
        </row>
        <row r="9">
          <cell r="A9">
            <v>2</v>
          </cell>
          <cell r="B9" t="str">
            <v xml:space="preserve">Gia cäng sàõt theïp f &lt;= 18 moïng cäüt </v>
          </cell>
          <cell r="C9" t="str">
            <v>kg</v>
          </cell>
          <cell r="D9">
            <v>229.89000000000001</v>
          </cell>
          <cell r="H9">
            <v>136.96</v>
          </cell>
          <cell r="I9">
            <v>92.93</v>
          </cell>
          <cell r="K9">
            <v>3.28</v>
          </cell>
        </row>
        <row r="10">
          <cell r="A10">
            <v>3</v>
          </cell>
          <cell r="B10" t="str">
            <v xml:space="preserve">Gia cäng sàõt theïp giàòng moïng f &lt;= 18 </v>
          </cell>
          <cell r="C10" t="str">
            <v>kg</v>
          </cell>
          <cell r="D10">
            <v>1125.83</v>
          </cell>
          <cell r="I10">
            <v>1125.83</v>
          </cell>
          <cell r="K10">
            <v>16.079999999999998</v>
          </cell>
        </row>
        <row r="11">
          <cell r="A11">
            <v>4</v>
          </cell>
          <cell r="B11" t="str">
            <v>Gia cäng sàõt theïp giàòng moïng f &lt;= 10</v>
          </cell>
          <cell r="C11" t="str">
            <v>kg</v>
          </cell>
          <cell r="D11">
            <v>178.38</v>
          </cell>
          <cell r="E11">
            <v>178.38</v>
          </cell>
          <cell r="K11">
            <v>3.82</v>
          </cell>
        </row>
        <row r="12">
          <cell r="B12" t="str">
            <v>II. THÁN NHAÌ :</v>
          </cell>
          <cell r="C12">
            <v>0</v>
          </cell>
          <cell r="D12">
            <v>0</v>
          </cell>
          <cell r="E12">
            <v>228.7</v>
          </cell>
          <cell r="F12">
            <v>0</v>
          </cell>
          <cell r="G12">
            <v>0</v>
          </cell>
          <cell r="H12">
            <v>548.23</v>
          </cell>
          <cell r="I12">
            <v>558.33999999999992</v>
          </cell>
          <cell r="J12">
            <v>176.46</v>
          </cell>
          <cell r="K12">
            <v>23.22</v>
          </cell>
        </row>
        <row r="13">
          <cell r="A13">
            <v>1</v>
          </cell>
          <cell r="B13" t="str">
            <v>Gia cäng sàõt theïp truû f &lt;= 10</v>
          </cell>
          <cell r="C13" t="str">
            <v>kg</v>
          </cell>
          <cell r="D13">
            <v>23.02</v>
          </cell>
          <cell r="E13">
            <v>23.02</v>
          </cell>
          <cell r="K13">
            <v>0.49</v>
          </cell>
        </row>
        <row r="14">
          <cell r="A14">
            <v>2</v>
          </cell>
          <cell r="B14" t="str">
            <v>Gia cäng sàõt theïp truû f &lt;= 18</v>
          </cell>
          <cell r="C14" t="str">
            <v>kg</v>
          </cell>
          <cell r="D14">
            <v>143.26</v>
          </cell>
          <cell r="I14">
            <v>143.26</v>
          </cell>
          <cell r="K14">
            <v>2.0499999999999998</v>
          </cell>
        </row>
        <row r="15">
          <cell r="A15">
            <v>3</v>
          </cell>
          <cell r="B15" t="str">
            <v>Gia cäng sàõt theïp lanh tä f &lt;= 10</v>
          </cell>
          <cell r="C15" t="str">
            <v>kg</v>
          </cell>
          <cell r="D15">
            <v>49.419999999999995</v>
          </cell>
          <cell r="E15">
            <v>49.419999999999995</v>
          </cell>
          <cell r="K15">
            <v>1.06</v>
          </cell>
        </row>
        <row r="16">
          <cell r="A16">
            <v>4</v>
          </cell>
          <cell r="B16" t="str">
            <v>Gia cäng sàõt theïp lanh tä f &lt;= 18</v>
          </cell>
          <cell r="C16" t="str">
            <v>kg</v>
          </cell>
          <cell r="D16">
            <v>210.44000000000003</v>
          </cell>
          <cell r="H16">
            <v>210.44000000000003</v>
          </cell>
          <cell r="K16">
            <v>3.01</v>
          </cell>
        </row>
        <row r="17">
          <cell r="A17">
            <v>5</v>
          </cell>
          <cell r="B17" t="str">
            <v>Gia cäng sàõt theïp ä vàng f &lt;= 10</v>
          </cell>
          <cell r="C17" t="str">
            <v>kg</v>
          </cell>
          <cell r="D17">
            <v>17.02</v>
          </cell>
          <cell r="E17">
            <v>17.02</v>
          </cell>
          <cell r="K17">
            <v>0.36</v>
          </cell>
        </row>
        <row r="18">
          <cell r="A18">
            <v>6</v>
          </cell>
          <cell r="B18" t="str">
            <v>Gia cäng sàõt theïp dáöm f &lt;= 18</v>
          </cell>
          <cell r="C18" t="str">
            <v>kg</v>
          </cell>
          <cell r="D18">
            <v>929.33</v>
          </cell>
          <cell r="H18">
            <v>337.78999999999996</v>
          </cell>
          <cell r="I18">
            <v>415.08</v>
          </cell>
          <cell r="J18">
            <v>176.46</v>
          </cell>
          <cell r="K18">
            <v>13.27</v>
          </cell>
        </row>
        <row r="19">
          <cell r="A19">
            <v>7</v>
          </cell>
          <cell r="B19" t="str">
            <v>Gia cäng sàõt theïp dáöm f &lt;= 10</v>
          </cell>
          <cell r="C19" t="str">
            <v>kg</v>
          </cell>
          <cell r="D19">
            <v>139.24</v>
          </cell>
          <cell r="E19">
            <v>139.24</v>
          </cell>
          <cell r="K19">
            <v>2.98</v>
          </cell>
        </row>
        <row r="20">
          <cell r="B20" t="str">
            <v>III. TRÁÖN + MAÏI NHAÌ :</v>
          </cell>
          <cell r="C20">
            <v>0</v>
          </cell>
          <cell r="D20">
            <v>0</v>
          </cell>
          <cell r="E20">
            <v>199.06</v>
          </cell>
          <cell r="F20">
            <v>183.28</v>
          </cell>
          <cell r="G20">
            <v>0</v>
          </cell>
          <cell r="H20">
            <v>52.21</v>
          </cell>
          <cell r="I20">
            <v>0</v>
          </cell>
          <cell r="J20">
            <v>0</v>
          </cell>
          <cell r="K20">
            <v>10.02</v>
          </cell>
        </row>
        <row r="21">
          <cell r="A21">
            <v>1</v>
          </cell>
          <cell r="B21" t="str">
            <v xml:space="preserve">Gia cäng sàõt theïp saìn maïi , sã nä f &lt;= 10 </v>
          </cell>
          <cell r="C21" t="str">
            <v>kg</v>
          </cell>
          <cell r="D21">
            <v>416.59000000000003</v>
          </cell>
          <cell r="E21">
            <v>182.55</v>
          </cell>
          <cell r="F21">
            <v>183.28</v>
          </cell>
          <cell r="K21">
            <v>8.92</v>
          </cell>
        </row>
        <row r="22">
          <cell r="A22">
            <v>2</v>
          </cell>
          <cell r="B22" t="str">
            <v>Gia cäng sàõt theïp lam ngang f &lt;= 18</v>
          </cell>
          <cell r="C22" t="str">
            <v>kg</v>
          </cell>
          <cell r="D22">
            <v>52.21</v>
          </cell>
          <cell r="H22">
            <v>52.21</v>
          </cell>
          <cell r="K22">
            <v>0.75</v>
          </cell>
        </row>
        <row r="23">
          <cell r="A23">
            <v>3</v>
          </cell>
          <cell r="B23" t="str">
            <v>Gia cäng sàõt theïp lam ngang f &lt;= 10</v>
          </cell>
          <cell r="C23" t="str">
            <v>kg</v>
          </cell>
          <cell r="D23">
            <v>16.509999999999998</v>
          </cell>
          <cell r="E23">
            <v>16.509999999999998</v>
          </cell>
          <cell r="K23">
            <v>0.35</v>
          </cell>
        </row>
        <row r="24">
          <cell r="B24" t="str">
            <v>IV. KHU VÃÛ SINH - BÃØ TÆÛ HOAÛI - BÃÚP - HÄÚ GA :</v>
          </cell>
          <cell r="E24">
            <v>99.4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2.12</v>
          </cell>
        </row>
        <row r="25">
          <cell r="A25">
            <v>1</v>
          </cell>
          <cell r="B25" t="str">
            <v>Gia cäng sàõt theïp táúm âan f &lt;= 10</v>
          </cell>
          <cell r="C25" t="str">
            <v>kg</v>
          </cell>
          <cell r="D25">
            <v>61.849999999999994</v>
          </cell>
          <cell r="E25">
            <v>61.849999999999994</v>
          </cell>
          <cell r="K25">
            <v>1.32</v>
          </cell>
        </row>
        <row r="26">
          <cell r="B26" t="str">
            <v xml:space="preserve">c, Bãúp : </v>
          </cell>
          <cell r="C26">
            <v>0</v>
          </cell>
        </row>
        <row r="27">
          <cell r="A27">
            <v>1</v>
          </cell>
          <cell r="B27" t="str">
            <v>Gia cäng sàõt theïp bãû bãúp f &lt;= 10</v>
          </cell>
          <cell r="C27" t="str">
            <v>kg</v>
          </cell>
          <cell r="D27">
            <v>18.899999999999999</v>
          </cell>
          <cell r="E27">
            <v>18.899999999999999</v>
          </cell>
          <cell r="K27">
            <v>0.4</v>
          </cell>
        </row>
        <row r="28">
          <cell r="B28" t="str">
            <v>d, Häú ga :</v>
          </cell>
          <cell r="C28">
            <v>0</v>
          </cell>
        </row>
        <row r="29">
          <cell r="A29">
            <v>1</v>
          </cell>
          <cell r="B29" t="str">
            <v>Gia cäng sàõt theïp táúm âan f &lt;= 10</v>
          </cell>
          <cell r="C29" t="str">
            <v>kg</v>
          </cell>
          <cell r="D29">
            <v>18.649999999999999</v>
          </cell>
          <cell r="E29">
            <v>18.649999999999999</v>
          </cell>
          <cell r="K29">
            <v>0.4</v>
          </cell>
        </row>
        <row r="30">
          <cell r="B30" t="str">
            <v xml:space="preserve">V. THAÏP NÆÅÏC </v>
          </cell>
          <cell r="C30">
            <v>0</v>
          </cell>
          <cell r="E30">
            <v>194.42</v>
          </cell>
          <cell r="F30">
            <v>0</v>
          </cell>
          <cell r="G30">
            <v>0</v>
          </cell>
          <cell r="H30">
            <v>218.31</v>
          </cell>
          <cell r="I30">
            <v>31.46</v>
          </cell>
          <cell r="J30">
            <v>286.93</v>
          </cell>
          <cell r="K30">
            <v>11.830000000000002</v>
          </cell>
        </row>
        <row r="31">
          <cell r="A31">
            <v>1</v>
          </cell>
          <cell r="B31" t="str">
            <v>Gia cäng sàõt theïp moïng cäüt f &lt;= 10</v>
          </cell>
          <cell r="C31" t="str">
            <v>kg</v>
          </cell>
          <cell r="D31">
            <v>25.57</v>
          </cell>
          <cell r="E31">
            <v>25.57</v>
          </cell>
          <cell r="K31">
            <v>0.55000000000000004</v>
          </cell>
        </row>
        <row r="32">
          <cell r="A32">
            <v>2</v>
          </cell>
          <cell r="B32" t="str">
            <v>Gia cäng sàõt theïp moïng cäüt f &lt;= 18</v>
          </cell>
          <cell r="C32" t="str">
            <v>kg</v>
          </cell>
          <cell r="D32">
            <v>213.12</v>
          </cell>
          <cell r="H32">
            <v>139.81</v>
          </cell>
          <cell r="J32">
            <v>73.31</v>
          </cell>
          <cell r="K32">
            <v>3.04</v>
          </cell>
        </row>
        <row r="33">
          <cell r="A33">
            <v>3</v>
          </cell>
          <cell r="B33" t="str">
            <v>Gia cäng sàõt theïp thaïp næåïc f &lt;= 18</v>
          </cell>
          <cell r="C33" t="str">
            <v>kg</v>
          </cell>
          <cell r="D33">
            <v>323.57999999999993</v>
          </cell>
          <cell r="H33">
            <v>78.5</v>
          </cell>
          <cell r="I33">
            <v>31.46</v>
          </cell>
          <cell r="J33">
            <v>213.62</v>
          </cell>
          <cell r="K33">
            <v>4.62</v>
          </cell>
        </row>
        <row r="34">
          <cell r="A34">
            <v>4</v>
          </cell>
          <cell r="B34" t="str">
            <v>Gia cäng sàõt theïp thaïp næåïc f &lt;= 10</v>
          </cell>
          <cell r="C34" t="str">
            <v>kg</v>
          </cell>
          <cell r="D34">
            <v>168.85</v>
          </cell>
          <cell r="E34">
            <v>168.85</v>
          </cell>
          <cell r="K34">
            <v>3.62</v>
          </cell>
        </row>
        <row r="35">
          <cell r="B35" t="str">
            <v xml:space="preserve">VIII. HAÌNG RAÌO - CÄØNG NGOÎ </v>
          </cell>
          <cell r="C35">
            <v>0</v>
          </cell>
          <cell r="E35">
            <v>45.02</v>
          </cell>
          <cell r="F35">
            <v>0</v>
          </cell>
          <cell r="G35">
            <v>192.5</v>
          </cell>
          <cell r="H35">
            <v>0</v>
          </cell>
          <cell r="I35">
            <v>0</v>
          </cell>
          <cell r="J35">
            <v>0</v>
          </cell>
          <cell r="K35">
            <v>5.09</v>
          </cell>
        </row>
        <row r="36">
          <cell r="B36" t="str">
            <v>2, tæåìng raìo :</v>
          </cell>
          <cell r="C36">
            <v>0</v>
          </cell>
        </row>
        <row r="37">
          <cell r="A37">
            <v>1</v>
          </cell>
          <cell r="B37" t="str">
            <v>Gia cäng sàõt theïp cäüt f &lt;= 10</v>
          </cell>
          <cell r="C37" t="str">
            <v>kg</v>
          </cell>
          <cell r="D37">
            <v>237.52</v>
          </cell>
          <cell r="E37">
            <v>45.02</v>
          </cell>
          <cell r="G37">
            <v>192.5</v>
          </cell>
          <cell r="K37">
            <v>5.09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-dg"/>
      <sheetName val="dg"/>
      <sheetName val="TH XD"/>
      <sheetName val="ma-pt"/>
      <sheetName val="ptvt"/>
      <sheetName val="chenhlech"/>
      <sheetName val="ms-dien"/>
      <sheetName val="dien"/>
      <sheetName val="TH dien"/>
      <sheetName val="ma-nuoc"/>
      <sheetName val="nuoc"/>
      <sheetName val="TH nuoc"/>
      <sheetName val="Sheet13"/>
      <sheetName val="Sheet14"/>
      <sheetName val="Sheet15"/>
      <sheetName val="Sheet16"/>
      <sheetName val="tra-vat-lieu"/>
    </sheetNames>
    <sheetDataSet>
      <sheetData sheetId="0"/>
      <sheetData sheetId="1"/>
      <sheetData sheetId="2"/>
      <sheetData sheetId="3" refreshError="1">
        <row r="6">
          <cell r="A6" t="str">
            <v>1a</v>
          </cell>
          <cell r="B6" t="str">
            <v>T«n nÒn b»ng c¸t ®Çm kü</v>
          </cell>
          <cell r="C6" t="str">
            <v>m3</v>
          </cell>
          <cell r="D6">
            <v>1</v>
          </cell>
          <cell r="H6">
            <v>1.22</v>
          </cell>
        </row>
        <row r="7">
          <cell r="A7">
            <v>2</v>
          </cell>
          <cell r="B7" t="str">
            <v xml:space="preserve">X©y mãng ®¸ héc &lt;=60 hoÆc &gt;60 VXM 50 </v>
          </cell>
          <cell r="C7" t="str">
            <v>m3</v>
          </cell>
          <cell r="D7">
            <v>1</v>
          </cell>
          <cell r="E7">
            <v>89.47</v>
          </cell>
          <cell r="F7">
            <v>0.48299999999999998</v>
          </cell>
          <cell r="BD7">
            <v>1.2</v>
          </cell>
          <cell r="BE7">
            <v>5.7000000000000002E-2</v>
          </cell>
        </row>
        <row r="8">
          <cell r="A8">
            <v>3</v>
          </cell>
          <cell r="B8" t="str">
            <v>X©y mãng ®¸ héc &lt;=60 hoÆc &gt;60 VXM 75</v>
          </cell>
          <cell r="C8" t="str">
            <v>m3</v>
          </cell>
          <cell r="D8">
            <v>1</v>
          </cell>
          <cell r="E8">
            <v>124.33</v>
          </cell>
          <cell r="F8">
            <v>0.47</v>
          </cell>
          <cell r="BD8">
            <v>1.2</v>
          </cell>
          <cell r="BE8">
            <v>5.7000000000000002E-2</v>
          </cell>
        </row>
        <row r="9">
          <cell r="A9">
            <v>4</v>
          </cell>
          <cell r="B9" t="str">
            <v>X©y mãng ®¸ héc &lt;=60 hoÆc &gt;60 VXM 100</v>
          </cell>
          <cell r="C9" t="str">
            <v>m3</v>
          </cell>
          <cell r="D9">
            <v>1</v>
          </cell>
          <cell r="E9">
            <v>161.72</v>
          </cell>
          <cell r="F9">
            <v>0.45800000000000002</v>
          </cell>
          <cell r="BD9">
            <v>1.2</v>
          </cell>
          <cell r="BE9">
            <v>5.7000000000000002E-2</v>
          </cell>
        </row>
        <row r="10">
          <cell r="A10">
            <v>5</v>
          </cell>
          <cell r="B10" t="str">
            <v>X©y t­êng th¼ng VXM 50 dµy &lt;=60,cao &lt;=2m</v>
          </cell>
          <cell r="C10" t="str">
            <v>m3</v>
          </cell>
          <cell r="D10">
            <v>1</v>
          </cell>
          <cell r="E10">
            <v>89.47</v>
          </cell>
          <cell r="F10">
            <v>0.48299999999999998</v>
          </cell>
          <cell r="BD10">
            <v>1.2</v>
          </cell>
          <cell r="BE10">
            <v>5.7000000000000002E-2</v>
          </cell>
        </row>
        <row r="11">
          <cell r="A11">
            <v>6</v>
          </cell>
          <cell r="B11" t="str">
            <v>X©y t­êng th¼ng VXM 75 dµy &lt;=60,cao &lt;=2m</v>
          </cell>
          <cell r="C11" t="str">
            <v>m3</v>
          </cell>
          <cell r="D11">
            <v>1</v>
          </cell>
          <cell r="E11">
            <v>124.33</v>
          </cell>
          <cell r="F11">
            <v>0.47</v>
          </cell>
          <cell r="BD11">
            <v>1.2</v>
          </cell>
          <cell r="BE11">
            <v>5.7000000000000002E-2</v>
          </cell>
        </row>
        <row r="12">
          <cell r="A12">
            <v>7</v>
          </cell>
          <cell r="B12" t="str">
            <v>X©y t­êng th¼ng VXM 100 dµy &lt;=60,cao &lt;=2m</v>
          </cell>
          <cell r="C12" t="str">
            <v>m3</v>
          </cell>
          <cell r="D12">
            <v>1</v>
          </cell>
          <cell r="E12">
            <v>161.72</v>
          </cell>
          <cell r="F12">
            <v>0.45800000000000002</v>
          </cell>
          <cell r="BD12">
            <v>1.2</v>
          </cell>
          <cell r="BE12">
            <v>5.7000000000000002E-2</v>
          </cell>
        </row>
        <row r="13">
          <cell r="A13">
            <v>8</v>
          </cell>
          <cell r="B13" t="str">
            <v>X©y t­êng th¼ng VXM 50 dµy &lt;=60,cao &gt;2m</v>
          </cell>
          <cell r="C13" t="str">
            <v>m3</v>
          </cell>
          <cell r="D13">
            <v>1</v>
          </cell>
          <cell r="E13">
            <v>89.47</v>
          </cell>
          <cell r="F13">
            <v>0.48299999999999998</v>
          </cell>
          <cell r="K13">
            <v>1.62</v>
          </cell>
          <cell r="L13">
            <v>0.01</v>
          </cell>
          <cell r="BD13">
            <v>1.2</v>
          </cell>
          <cell r="BE13">
            <v>5.7000000000000002E-2</v>
          </cell>
          <cell r="BO13">
            <v>0.46</v>
          </cell>
        </row>
        <row r="14">
          <cell r="A14">
            <v>9</v>
          </cell>
          <cell r="B14" t="str">
            <v>X©y t­êng th¼ng VXM 75 dµy &lt;=60,cao &gt;2m</v>
          </cell>
          <cell r="C14" t="str">
            <v>m3</v>
          </cell>
          <cell r="D14">
            <v>1</v>
          </cell>
          <cell r="E14">
            <v>124.33</v>
          </cell>
          <cell r="F14">
            <v>0.47</v>
          </cell>
          <cell r="K14">
            <v>1.62</v>
          </cell>
          <cell r="L14">
            <v>0.01</v>
          </cell>
          <cell r="BD14">
            <v>1.2</v>
          </cell>
          <cell r="BE14">
            <v>5.7000000000000002E-2</v>
          </cell>
          <cell r="BO14">
            <v>0.46</v>
          </cell>
        </row>
        <row r="15">
          <cell r="A15">
            <v>10</v>
          </cell>
          <cell r="B15" t="str">
            <v>X©y t­êng th¼ng VXM 100 dµy &lt;=60,cao &gt;2m</v>
          </cell>
          <cell r="C15" t="str">
            <v>m3</v>
          </cell>
          <cell r="D15">
            <v>1</v>
          </cell>
          <cell r="E15">
            <v>161.72</v>
          </cell>
          <cell r="F15">
            <v>0.45800000000000002</v>
          </cell>
          <cell r="K15">
            <v>1.62</v>
          </cell>
          <cell r="L15">
            <v>0.01</v>
          </cell>
          <cell r="BD15">
            <v>1.2</v>
          </cell>
          <cell r="BE15">
            <v>5.7000000000000002E-2</v>
          </cell>
          <cell r="BO15">
            <v>0.46</v>
          </cell>
        </row>
        <row r="16">
          <cell r="A16">
            <v>11</v>
          </cell>
          <cell r="B16" t="str">
            <v>X©y t­êng th¼ng VXM 50 dµy &gt;60,cao &lt;=2m</v>
          </cell>
          <cell r="C16" t="str">
            <v>m3</v>
          </cell>
          <cell r="D16">
            <v>1</v>
          </cell>
          <cell r="E16">
            <v>89.47</v>
          </cell>
          <cell r="F16">
            <v>0.48299999999999998</v>
          </cell>
          <cell r="BD16">
            <v>1.2</v>
          </cell>
          <cell r="BE16">
            <v>5.7000000000000002E-2</v>
          </cell>
        </row>
        <row r="17">
          <cell r="A17">
            <v>12</v>
          </cell>
          <cell r="B17" t="str">
            <v>X©y t­êng th¼ng VXM 75 dµy &gt;60,cao &lt;=2m</v>
          </cell>
          <cell r="C17" t="str">
            <v>m3</v>
          </cell>
          <cell r="D17">
            <v>1</v>
          </cell>
          <cell r="E17">
            <v>124.33</v>
          </cell>
          <cell r="F17">
            <v>0.47</v>
          </cell>
          <cell r="BD17">
            <v>1.2</v>
          </cell>
          <cell r="BE17">
            <v>5.7000000000000002E-2</v>
          </cell>
        </row>
        <row r="18">
          <cell r="A18">
            <v>13</v>
          </cell>
          <cell r="B18" t="str">
            <v>X©y t­êng th¼ng VXM 100 dµy &gt;60,cao &lt;=2m</v>
          </cell>
          <cell r="C18" t="str">
            <v>m3</v>
          </cell>
          <cell r="D18">
            <v>1</v>
          </cell>
          <cell r="E18">
            <v>161.72</v>
          </cell>
          <cell r="F18">
            <v>0.45800000000000002</v>
          </cell>
          <cell r="BD18">
            <v>1.2</v>
          </cell>
          <cell r="BE18">
            <v>5.7000000000000002E-2</v>
          </cell>
        </row>
        <row r="19">
          <cell r="A19">
            <v>14</v>
          </cell>
          <cell r="B19" t="str">
            <v>X©y t­êng th¼ng VXM 50 dµy &gt;60,cao &gt;2m</v>
          </cell>
          <cell r="C19" t="str">
            <v>m3</v>
          </cell>
          <cell r="D19">
            <v>1</v>
          </cell>
          <cell r="E19">
            <v>89.47</v>
          </cell>
          <cell r="F19">
            <v>0.48299999999999998</v>
          </cell>
          <cell r="K19">
            <v>1.1599999999999999</v>
          </cell>
          <cell r="L19">
            <v>8.0000000000000002E-3</v>
          </cell>
          <cell r="BD19">
            <v>1.2</v>
          </cell>
          <cell r="BE19">
            <v>5.7000000000000002E-2</v>
          </cell>
          <cell r="BO19">
            <v>0.35</v>
          </cell>
        </row>
        <row r="20">
          <cell r="A20">
            <v>15</v>
          </cell>
          <cell r="B20" t="str">
            <v>X©y t­êng th¼ng VXM 75 dµy &gt;60,cao &gt;2m</v>
          </cell>
          <cell r="C20" t="str">
            <v>m3</v>
          </cell>
          <cell r="D20">
            <v>1</v>
          </cell>
          <cell r="E20">
            <v>124.33</v>
          </cell>
          <cell r="F20">
            <v>0.47</v>
          </cell>
          <cell r="K20">
            <v>1.1599999999999999</v>
          </cell>
          <cell r="L20">
            <v>8.0000000000000002E-3</v>
          </cell>
          <cell r="BD20">
            <v>1.2</v>
          </cell>
          <cell r="BE20">
            <v>5.7000000000000002E-2</v>
          </cell>
          <cell r="BO20">
            <v>0.35</v>
          </cell>
        </row>
        <row r="21">
          <cell r="A21">
            <v>16</v>
          </cell>
          <cell r="B21" t="str">
            <v>X©y t­êng th¼ng VXM 100 dµy &gt;60,cao &gt;2m</v>
          </cell>
          <cell r="C21" t="str">
            <v>m3</v>
          </cell>
          <cell r="D21">
            <v>1</v>
          </cell>
          <cell r="E21">
            <v>161.72</v>
          </cell>
          <cell r="F21">
            <v>0.45800000000000002</v>
          </cell>
          <cell r="K21">
            <v>1.1599999999999999</v>
          </cell>
          <cell r="L21">
            <v>8.0000000000000002E-3</v>
          </cell>
          <cell r="BD21">
            <v>1.2</v>
          </cell>
          <cell r="BE21">
            <v>5.7000000000000002E-2</v>
          </cell>
          <cell r="BO21">
            <v>0.35</v>
          </cell>
        </row>
        <row r="22">
          <cell r="A22">
            <v>17</v>
          </cell>
          <cell r="B22" t="str">
            <v>X©y t­êng cong nghiªng vÆn vá ®ç VXM 50 cao &lt;=2m</v>
          </cell>
          <cell r="C22" t="str">
            <v>m3</v>
          </cell>
          <cell r="D22">
            <v>1</v>
          </cell>
          <cell r="E22">
            <v>89.47</v>
          </cell>
          <cell r="F22">
            <v>0.48299999999999998</v>
          </cell>
          <cell r="BD22">
            <v>1.2</v>
          </cell>
          <cell r="BE22">
            <v>5.7000000000000002E-2</v>
          </cell>
        </row>
        <row r="23">
          <cell r="A23">
            <v>18</v>
          </cell>
          <cell r="B23" t="str">
            <v>X©y t­êng cong nghiªng vÆn vá ®ç VXM 75 cao &lt;=2m</v>
          </cell>
          <cell r="C23" t="str">
            <v>m3</v>
          </cell>
          <cell r="D23">
            <v>1</v>
          </cell>
          <cell r="E23">
            <v>124.33</v>
          </cell>
          <cell r="F23">
            <v>0.47</v>
          </cell>
          <cell r="BD23">
            <v>1.2</v>
          </cell>
          <cell r="BE23">
            <v>5.7000000000000002E-2</v>
          </cell>
        </row>
        <row r="24">
          <cell r="A24">
            <v>19</v>
          </cell>
          <cell r="B24" t="str">
            <v>X©y t­êng cong nghiªng vÆn vá ®ç VXM 100 cao &lt;=2m</v>
          </cell>
          <cell r="C24" t="str">
            <v>m3</v>
          </cell>
          <cell r="D24">
            <v>1</v>
          </cell>
          <cell r="E24">
            <v>161.72</v>
          </cell>
          <cell r="F24">
            <v>0.45800000000000002</v>
          </cell>
          <cell r="BD24">
            <v>1.2</v>
          </cell>
          <cell r="BE24">
            <v>5.7000000000000002E-2</v>
          </cell>
        </row>
        <row r="25">
          <cell r="A25">
            <v>20</v>
          </cell>
          <cell r="B25" t="str">
            <v>X©y t­êng cong nghiªng vÆn vá ®ç VXM 50 dµy&lt;=60,cao &gt;2m</v>
          </cell>
          <cell r="C25" t="str">
            <v>m3</v>
          </cell>
          <cell r="D25">
            <v>1</v>
          </cell>
          <cell r="E25">
            <v>89.47</v>
          </cell>
          <cell r="F25">
            <v>0.48299999999999998</v>
          </cell>
          <cell r="K25">
            <v>1.62</v>
          </cell>
          <cell r="L25">
            <v>0.01</v>
          </cell>
          <cell r="BD25">
            <v>1.2</v>
          </cell>
          <cell r="BE25">
            <v>5.7000000000000002E-2</v>
          </cell>
          <cell r="BO25">
            <v>0.46</v>
          </cell>
        </row>
        <row r="26">
          <cell r="A26">
            <v>21</v>
          </cell>
          <cell r="B26" t="str">
            <v>X©y t­êng cong nghiªng vÆn vá ®ç VXM 75 dµy&lt;=60,cao &gt;2m</v>
          </cell>
          <cell r="C26" t="str">
            <v>m3</v>
          </cell>
          <cell r="D26">
            <v>1</v>
          </cell>
          <cell r="E26">
            <v>124.33</v>
          </cell>
          <cell r="F26">
            <v>0.47</v>
          </cell>
          <cell r="K26">
            <v>1.62</v>
          </cell>
          <cell r="L26">
            <v>0.01</v>
          </cell>
          <cell r="BD26">
            <v>1.2</v>
          </cell>
          <cell r="BE26">
            <v>5.7000000000000002E-2</v>
          </cell>
          <cell r="BO26">
            <v>0.46</v>
          </cell>
        </row>
        <row r="27">
          <cell r="A27">
            <v>22</v>
          </cell>
          <cell r="B27" t="str">
            <v>X©y t­êng cong nghiªng vÆn vá ®ç VXM 100 dµy&lt;=60,cao &gt;2m</v>
          </cell>
          <cell r="C27" t="str">
            <v>m3</v>
          </cell>
          <cell r="D27">
            <v>1</v>
          </cell>
          <cell r="E27">
            <v>161.72</v>
          </cell>
          <cell r="F27">
            <v>0.45800000000000002</v>
          </cell>
          <cell r="K27">
            <v>1.62</v>
          </cell>
          <cell r="L27">
            <v>0.01</v>
          </cell>
          <cell r="BD27">
            <v>1.2</v>
          </cell>
          <cell r="BE27">
            <v>5.7000000000000002E-2</v>
          </cell>
          <cell r="BO27">
            <v>0.46</v>
          </cell>
        </row>
        <row r="28">
          <cell r="A28">
            <v>23</v>
          </cell>
          <cell r="B28" t="str">
            <v>X©y t­êng cong nghiªng vÆn vá ®ç VXM 50 dµy&gt;60,cao &gt;2m</v>
          </cell>
          <cell r="C28" t="str">
            <v>m3</v>
          </cell>
          <cell r="D28">
            <v>1</v>
          </cell>
          <cell r="E28">
            <v>89.47</v>
          </cell>
          <cell r="F28">
            <v>0.48299999999999998</v>
          </cell>
          <cell r="K28">
            <v>1.1599999999999999</v>
          </cell>
          <cell r="L28">
            <v>8.0000000000000002E-3</v>
          </cell>
          <cell r="BD28">
            <v>1.2</v>
          </cell>
          <cell r="BE28">
            <v>5.7000000000000002E-2</v>
          </cell>
          <cell r="BO28">
            <v>0.35</v>
          </cell>
        </row>
        <row r="29">
          <cell r="A29">
            <v>24</v>
          </cell>
          <cell r="B29" t="str">
            <v>X©y t­êng cong nghiªng vÆn vá ®ç VXM 75 dµy&gt;60,cao &gt;2m</v>
          </cell>
          <cell r="C29" t="str">
            <v>m3</v>
          </cell>
          <cell r="D29">
            <v>1</v>
          </cell>
          <cell r="E29">
            <v>124.33</v>
          </cell>
          <cell r="F29">
            <v>0.47</v>
          </cell>
          <cell r="K29">
            <v>1.1599999999999999</v>
          </cell>
          <cell r="L29">
            <v>8.0000000000000002E-3</v>
          </cell>
          <cell r="BD29">
            <v>1.2</v>
          </cell>
          <cell r="BE29">
            <v>5.7000000000000002E-2</v>
          </cell>
          <cell r="BO29">
            <v>0.35</v>
          </cell>
        </row>
        <row r="30">
          <cell r="A30">
            <v>25</v>
          </cell>
          <cell r="B30" t="str">
            <v>X©y t­êng cong nghiªng vÆn vá ®ç VXM 100 dµy&gt;60,cao &gt;2m</v>
          </cell>
          <cell r="C30" t="str">
            <v>m3</v>
          </cell>
          <cell r="D30">
            <v>1</v>
          </cell>
          <cell r="E30">
            <v>161.72</v>
          </cell>
          <cell r="F30">
            <v>0.45800000000000002</v>
          </cell>
          <cell r="K30">
            <v>1.1599999999999999</v>
          </cell>
          <cell r="L30">
            <v>8.0000000000000002E-3</v>
          </cell>
          <cell r="BD30">
            <v>1.2</v>
          </cell>
          <cell r="BE30">
            <v>5.7000000000000002E-2</v>
          </cell>
          <cell r="BO30">
            <v>0.35</v>
          </cell>
        </row>
        <row r="31">
          <cell r="A31">
            <v>26</v>
          </cell>
          <cell r="B31" t="str">
            <v xml:space="preserve">X©y mè cÇu chiÒu cao &lt;=2 VXM 50 </v>
          </cell>
          <cell r="C31" t="str">
            <v>m3</v>
          </cell>
          <cell r="D31">
            <v>1</v>
          </cell>
          <cell r="E31">
            <v>89.47</v>
          </cell>
          <cell r="F31">
            <v>0.48299999999999998</v>
          </cell>
          <cell r="K31">
            <v>1.62</v>
          </cell>
          <cell r="L31">
            <v>0.01</v>
          </cell>
          <cell r="BD31">
            <v>1.2</v>
          </cell>
          <cell r="BE31">
            <v>5.7000000000000002E-2</v>
          </cell>
        </row>
        <row r="32">
          <cell r="A32">
            <v>27</v>
          </cell>
          <cell r="B32" t="str">
            <v>X©y mè cÇu chiÒu cao &lt;=2 VXM 75</v>
          </cell>
          <cell r="C32" t="str">
            <v>m3</v>
          </cell>
          <cell r="D32">
            <v>1</v>
          </cell>
          <cell r="E32">
            <v>124.33</v>
          </cell>
          <cell r="F32">
            <v>0.47</v>
          </cell>
          <cell r="K32">
            <v>1.62</v>
          </cell>
          <cell r="L32">
            <v>0.01</v>
          </cell>
          <cell r="BD32">
            <v>1.2</v>
          </cell>
          <cell r="BE32">
            <v>5.7000000000000002E-2</v>
          </cell>
        </row>
        <row r="33">
          <cell r="A33">
            <v>28</v>
          </cell>
          <cell r="B33" t="str">
            <v xml:space="preserve">X©y mè cÇu chiÒu cao &lt;=2 VXM 100 </v>
          </cell>
          <cell r="C33" t="str">
            <v>m3</v>
          </cell>
          <cell r="D33">
            <v>1</v>
          </cell>
          <cell r="E33">
            <v>161.72</v>
          </cell>
          <cell r="F33">
            <v>0.45800000000000002</v>
          </cell>
          <cell r="K33">
            <v>1.62</v>
          </cell>
          <cell r="L33">
            <v>0.01</v>
          </cell>
          <cell r="BD33">
            <v>1.2</v>
          </cell>
          <cell r="BE33">
            <v>5.7000000000000002E-2</v>
          </cell>
        </row>
        <row r="34">
          <cell r="A34">
            <v>29</v>
          </cell>
          <cell r="B34" t="str">
            <v xml:space="preserve">X©y mè cÇu chiÒu cao &gt;2 VXM 50 </v>
          </cell>
          <cell r="C34" t="str">
            <v>m3</v>
          </cell>
          <cell r="D34">
            <v>1</v>
          </cell>
          <cell r="E34">
            <v>89.47</v>
          </cell>
          <cell r="F34">
            <v>0.48299999999999998</v>
          </cell>
          <cell r="K34">
            <v>1.62</v>
          </cell>
          <cell r="L34">
            <v>0.01</v>
          </cell>
          <cell r="BD34">
            <v>1.2</v>
          </cell>
          <cell r="BE34">
            <v>5.7000000000000002E-2</v>
          </cell>
          <cell r="BO34">
            <v>0.46</v>
          </cell>
        </row>
        <row r="35">
          <cell r="A35">
            <v>30</v>
          </cell>
          <cell r="B35" t="str">
            <v xml:space="preserve">X©y mè cÇu chiÒu cao &gt;2 VXM 75 </v>
          </cell>
          <cell r="C35" t="str">
            <v>m3</v>
          </cell>
          <cell r="D35">
            <v>1</v>
          </cell>
          <cell r="E35">
            <v>124.33</v>
          </cell>
          <cell r="F35">
            <v>0.47</v>
          </cell>
          <cell r="K35">
            <v>1.62</v>
          </cell>
          <cell r="L35">
            <v>0.01</v>
          </cell>
          <cell r="BD35">
            <v>1.2</v>
          </cell>
          <cell r="BE35">
            <v>5.7000000000000002E-2</v>
          </cell>
          <cell r="BO35">
            <v>0.46</v>
          </cell>
        </row>
        <row r="36">
          <cell r="A36">
            <v>31</v>
          </cell>
          <cell r="B36" t="str">
            <v xml:space="preserve">X©y mè cÇu chiÒu cao &gt;2 VXM 100 </v>
          </cell>
          <cell r="C36" t="str">
            <v>m3</v>
          </cell>
          <cell r="D36">
            <v>1</v>
          </cell>
          <cell r="E36">
            <v>161.72</v>
          </cell>
          <cell r="F36">
            <v>0.45800000000000002</v>
          </cell>
          <cell r="K36">
            <v>1.62</v>
          </cell>
          <cell r="L36">
            <v>0.01</v>
          </cell>
          <cell r="BD36">
            <v>1.2</v>
          </cell>
          <cell r="BE36">
            <v>5.7000000000000002E-2</v>
          </cell>
          <cell r="BO36">
            <v>0.46</v>
          </cell>
        </row>
        <row r="37">
          <cell r="A37">
            <v>32</v>
          </cell>
          <cell r="B37" t="str">
            <v xml:space="preserve">X©y trô cét chiÒu cao &lt;=2 VXM 50 </v>
          </cell>
          <cell r="C37" t="str">
            <v>m3</v>
          </cell>
          <cell r="D37">
            <v>1</v>
          </cell>
          <cell r="E37">
            <v>89.47</v>
          </cell>
          <cell r="F37">
            <v>0.48299999999999998</v>
          </cell>
          <cell r="K37">
            <v>0.5</v>
          </cell>
          <cell r="L37">
            <v>3.0000000000000001E-3</v>
          </cell>
          <cell r="BD37">
            <v>1.2</v>
          </cell>
          <cell r="BE37">
            <v>5.7000000000000002E-2</v>
          </cell>
          <cell r="BO37">
            <v>0.23</v>
          </cell>
          <cell r="BP37">
            <v>7.35</v>
          </cell>
        </row>
        <row r="38">
          <cell r="A38">
            <v>33</v>
          </cell>
          <cell r="B38" t="str">
            <v>X©y trô cét chiÒu cao &lt;=2 VXM 75</v>
          </cell>
          <cell r="C38" t="str">
            <v>m3</v>
          </cell>
          <cell r="D38">
            <v>1</v>
          </cell>
          <cell r="E38">
            <v>124.33</v>
          </cell>
          <cell r="F38">
            <v>0.47</v>
          </cell>
          <cell r="K38">
            <v>0.5</v>
          </cell>
          <cell r="L38">
            <v>3.0000000000000001E-3</v>
          </cell>
          <cell r="BD38">
            <v>1.2</v>
          </cell>
          <cell r="BE38">
            <v>5.7000000000000002E-2</v>
          </cell>
          <cell r="BO38">
            <v>0.23</v>
          </cell>
          <cell r="BP38">
            <v>7.35</v>
          </cell>
        </row>
        <row r="39">
          <cell r="A39">
            <v>34</v>
          </cell>
          <cell r="B39" t="str">
            <v xml:space="preserve">X©y trô cét chiÒu cao &lt;=2 VXM 100 </v>
          </cell>
          <cell r="C39" t="str">
            <v>m3</v>
          </cell>
          <cell r="D39">
            <v>1</v>
          </cell>
          <cell r="E39">
            <v>161.72</v>
          </cell>
          <cell r="F39">
            <v>0.45800000000000002</v>
          </cell>
          <cell r="K39">
            <v>0.5</v>
          </cell>
          <cell r="L39">
            <v>3.0000000000000001E-3</v>
          </cell>
          <cell r="BD39">
            <v>1.2</v>
          </cell>
          <cell r="BE39">
            <v>5.7000000000000002E-2</v>
          </cell>
          <cell r="BO39">
            <v>0.23</v>
          </cell>
          <cell r="BP39">
            <v>7.35</v>
          </cell>
        </row>
        <row r="40">
          <cell r="A40">
            <v>35</v>
          </cell>
          <cell r="B40" t="str">
            <v xml:space="preserve">X©y trô cét chiÒu cao &gt;2 VXM 50 </v>
          </cell>
          <cell r="C40" t="str">
            <v>m3</v>
          </cell>
          <cell r="D40">
            <v>1</v>
          </cell>
          <cell r="E40">
            <v>89.47</v>
          </cell>
          <cell r="F40">
            <v>0.48299999999999998</v>
          </cell>
          <cell r="K40">
            <v>1.62</v>
          </cell>
          <cell r="L40">
            <v>0.01</v>
          </cell>
          <cell r="BD40">
            <v>1.2</v>
          </cell>
          <cell r="BE40">
            <v>5.7000000000000002E-2</v>
          </cell>
          <cell r="BO40">
            <v>0.46</v>
          </cell>
          <cell r="BP40">
            <v>7.35</v>
          </cell>
        </row>
        <row r="41">
          <cell r="A41">
            <v>36</v>
          </cell>
          <cell r="B41" t="str">
            <v xml:space="preserve">X©y trô cét chiÒu cao &gt;2 VXM 75 </v>
          </cell>
          <cell r="C41" t="str">
            <v>m3</v>
          </cell>
          <cell r="D41">
            <v>1</v>
          </cell>
          <cell r="E41">
            <v>124.33</v>
          </cell>
          <cell r="F41">
            <v>0.47</v>
          </cell>
          <cell r="K41">
            <v>1.62</v>
          </cell>
          <cell r="L41">
            <v>0.01</v>
          </cell>
          <cell r="BD41">
            <v>1.2</v>
          </cell>
          <cell r="BE41">
            <v>5.7000000000000002E-2</v>
          </cell>
          <cell r="BO41">
            <v>0.46</v>
          </cell>
          <cell r="BP41">
            <v>7.35</v>
          </cell>
        </row>
        <row r="42">
          <cell r="A42">
            <v>37</v>
          </cell>
          <cell r="B42" t="str">
            <v xml:space="preserve">X©y trô cét chiÒu cao &gt;2 VXM 100 </v>
          </cell>
          <cell r="C42" t="str">
            <v>m3</v>
          </cell>
          <cell r="D42">
            <v>1</v>
          </cell>
          <cell r="E42">
            <v>161.72</v>
          </cell>
          <cell r="F42">
            <v>0.45800000000000002</v>
          </cell>
          <cell r="K42">
            <v>1.62</v>
          </cell>
          <cell r="L42">
            <v>0.01</v>
          </cell>
          <cell r="BD42">
            <v>1.2</v>
          </cell>
          <cell r="BE42">
            <v>5.7000000000000002E-2</v>
          </cell>
          <cell r="BO42">
            <v>0.46</v>
          </cell>
          <cell r="BP42">
            <v>7.35</v>
          </cell>
        </row>
        <row r="43">
          <cell r="A43">
            <v>38</v>
          </cell>
          <cell r="B43" t="str">
            <v xml:space="preserve">X©y t­êng ®Çu cÇu chiÒu cao &lt;=2 VXM 50 </v>
          </cell>
          <cell r="C43" t="str">
            <v>m3</v>
          </cell>
          <cell r="D43">
            <v>1</v>
          </cell>
          <cell r="E43">
            <v>89.47</v>
          </cell>
          <cell r="F43">
            <v>0.48299999999999998</v>
          </cell>
          <cell r="K43">
            <v>0.5</v>
          </cell>
          <cell r="L43">
            <v>3.0000000000000001E-3</v>
          </cell>
          <cell r="BD43">
            <v>1.2</v>
          </cell>
          <cell r="BE43">
            <v>5.7000000000000002E-2</v>
          </cell>
          <cell r="BO43">
            <v>0.23</v>
          </cell>
        </row>
        <row r="44">
          <cell r="A44">
            <v>39</v>
          </cell>
          <cell r="B44" t="str">
            <v>X©y t­êng ®Çu cÇu chiÒu cao &lt;=2 VXM 75</v>
          </cell>
          <cell r="C44" t="str">
            <v>m3</v>
          </cell>
          <cell r="D44">
            <v>1</v>
          </cell>
          <cell r="E44">
            <v>124.33</v>
          </cell>
          <cell r="F44">
            <v>0.47</v>
          </cell>
          <cell r="K44">
            <v>0.5</v>
          </cell>
          <cell r="L44">
            <v>3.0000000000000001E-3</v>
          </cell>
          <cell r="BD44">
            <v>1.2</v>
          </cell>
          <cell r="BE44">
            <v>5.7000000000000002E-2</v>
          </cell>
          <cell r="BO44">
            <v>0.23</v>
          </cell>
        </row>
        <row r="45">
          <cell r="A45">
            <v>40</v>
          </cell>
          <cell r="B45" t="str">
            <v xml:space="preserve">X©y t­êng ®Çu cÇu chiÒu cao &lt;=2 VXM 100 </v>
          </cell>
          <cell r="C45" t="str">
            <v>m3</v>
          </cell>
          <cell r="D45">
            <v>1</v>
          </cell>
          <cell r="E45">
            <v>161.72</v>
          </cell>
          <cell r="F45">
            <v>0.45800000000000002</v>
          </cell>
          <cell r="K45">
            <v>0.5</v>
          </cell>
          <cell r="L45">
            <v>3.0000000000000001E-3</v>
          </cell>
          <cell r="BD45">
            <v>1.2</v>
          </cell>
          <cell r="BE45">
            <v>5.7000000000000002E-2</v>
          </cell>
          <cell r="BO45">
            <v>0.23</v>
          </cell>
        </row>
        <row r="46">
          <cell r="A46">
            <v>41</v>
          </cell>
          <cell r="B46" t="str">
            <v xml:space="preserve">X©y t­êng ®Çu cÇu chiÒu cao &gt;2 VXM 50 </v>
          </cell>
          <cell r="C46" t="str">
            <v>m3</v>
          </cell>
          <cell r="D46">
            <v>1</v>
          </cell>
          <cell r="E46">
            <v>89.47</v>
          </cell>
          <cell r="F46">
            <v>0.48299999999999998</v>
          </cell>
          <cell r="K46">
            <v>1.62</v>
          </cell>
          <cell r="L46">
            <v>0.01</v>
          </cell>
          <cell r="BD46">
            <v>1.2</v>
          </cell>
          <cell r="BE46">
            <v>5.7000000000000002E-2</v>
          </cell>
          <cell r="BO46">
            <v>0.46</v>
          </cell>
        </row>
        <row r="47">
          <cell r="A47">
            <v>42</v>
          </cell>
          <cell r="B47" t="str">
            <v xml:space="preserve">X©y t­êng ®Çu cÇu chiÒu cao &gt;2 VXM 75 </v>
          </cell>
          <cell r="C47" t="str">
            <v>m3</v>
          </cell>
          <cell r="D47">
            <v>1</v>
          </cell>
          <cell r="E47">
            <v>124.33</v>
          </cell>
          <cell r="F47">
            <v>0.47</v>
          </cell>
          <cell r="K47">
            <v>1.62</v>
          </cell>
          <cell r="L47">
            <v>0.01</v>
          </cell>
          <cell r="BD47">
            <v>1.2</v>
          </cell>
          <cell r="BE47">
            <v>5.7000000000000002E-2</v>
          </cell>
          <cell r="BO47">
            <v>0.46</v>
          </cell>
        </row>
        <row r="48">
          <cell r="A48">
            <v>43</v>
          </cell>
          <cell r="B48" t="str">
            <v xml:space="preserve">X©y t­êng ®Çu cÇu chiÒu cao &gt;2 VXM 100 </v>
          </cell>
          <cell r="C48" t="str">
            <v>m3</v>
          </cell>
          <cell r="D48">
            <v>1</v>
          </cell>
          <cell r="E48">
            <v>161.72</v>
          </cell>
          <cell r="F48">
            <v>0.45800000000000002</v>
          </cell>
          <cell r="K48">
            <v>1.62</v>
          </cell>
          <cell r="L48">
            <v>0.01</v>
          </cell>
          <cell r="BD48">
            <v>1.2</v>
          </cell>
          <cell r="BE48">
            <v>5.7000000000000002E-2</v>
          </cell>
          <cell r="BO48">
            <v>0.46</v>
          </cell>
        </row>
        <row r="49">
          <cell r="A49">
            <v>44</v>
          </cell>
          <cell r="B49" t="str">
            <v>X©y mÆt b»ng ®¸ héc VXM 50</v>
          </cell>
          <cell r="C49" t="str">
            <v>m3</v>
          </cell>
          <cell r="D49">
            <v>1</v>
          </cell>
          <cell r="E49">
            <v>89.47</v>
          </cell>
          <cell r="F49">
            <v>0.48299999999999998</v>
          </cell>
          <cell r="BD49">
            <v>1.2</v>
          </cell>
          <cell r="BE49">
            <v>5.7000000000000002E-2</v>
          </cell>
        </row>
        <row r="50">
          <cell r="A50">
            <v>45</v>
          </cell>
          <cell r="B50" t="str">
            <v>X©y mÆt b»ng ®¸ héc VXM 75</v>
          </cell>
          <cell r="C50" t="str">
            <v>m3</v>
          </cell>
          <cell r="D50">
            <v>1</v>
          </cell>
          <cell r="E50">
            <v>124.33</v>
          </cell>
          <cell r="F50">
            <v>0.47</v>
          </cell>
          <cell r="BD50">
            <v>1.2</v>
          </cell>
          <cell r="BE50">
            <v>5.7000000000000002E-2</v>
          </cell>
        </row>
        <row r="51">
          <cell r="A51">
            <v>46</v>
          </cell>
          <cell r="B51" t="str">
            <v>X©y mÆt b»ng ®¸ héc VXM 100</v>
          </cell>
          <cell r="C51" t="str">
            <v>m3</v>
          </cell>
          <cell r="D51">
            <v>1</v>
          </cell>
          <cell r="E51">
            <v>161.72</v>
          </cell>
          <cell r="F51">
            <v>0.45800000000000002</v>
          </cell>
          <cell r="BD51">
            <v>1.2</v>
          </cell>
          <cell r="BE51">
            <v>5.7000000000000002E-2</v>
          </cell>
        </row>
        <row r="52">
          <cell r="A52">
            <v>47</v>
          </cell>
          <cell r="B52" t="str">
            <v>X©y mÆt b»ng m¸i dèc th¼ng ®¸ héc VXM 50</v>
          </cell>
          <cell r="C52" t="str">
            <v>m3</v>
          </cell>
          <cell r="D52">
            <v>1</v>
          </cell>
          <cell r="E52">
            <v>89.47</v>
          </cell>
          <cell r="F52">
            <v>0.48299999999999998</v>
          </cell>
          <cell r="BD52">
            <v>1.2</v>
          </cell>
          <cell r="BE52">
            <v>5.7000000000000002E-2</v>
          </cell>
        </row>
        <row r="53">
          <cell r="A53">
            <v>48</v>
          </cell>
          <cell r="B53" t="str">
            <v>X©y mÆt b»ng m¸i dèc th¼ng ®¸ héc VXM 75</v>
          </cell>
          <cell r="C53" t="str">
            <v>m3</v>
          </cell>
          <cell r="D53">
            <v>1</v>
          </cell>
          <cell r="E53">
            <v>124.33</v>
          </cell>
          <cell r="F53">
            <v>0.47</v>
          </cell>
          <cell r="BD53">
            <v>1.2</v>
          </cell>
          <cell r="BE53">
            <v>5.7000000000000002E-2</v>
          </cell>
        </row>
        <row r="54">
          <cell r="A54">
            <v>49</v>
          </cell>
          <cell r="B54" t="str">
            <v>X©y mÆt b»ng m¸i dèc th¼ng ®¸ héc VXM 100</v>
          </cell>
          <cell r="C54" t="str">
            <v>m3</v>
          </cell>
          <cell r="D54">
            <v>1</v>
          </cell>
          <cell r="E54">
            <v>161.72</v>
          </cell>
          <cell r="F54">
            <v>0.45800000000000002</v>
          </cell>
          <cell r="BD54">
            <v>1.2</v>
          </cell>
          <cell r="BE54">
            <v>5.7000000000000002E-2</v>
          </cell>
        </row>
        <row r="55">
          <cell r="A55">
            <v>50</v>
          </cell>
          <cell r="B55" t="str">
            <v>X©y mÆt b»ng m¸i dèc cong ®¸ héc VXM 50</v>
          </cell>
          <cell r="C55" t="str">
            <v>m3</v>
          </cell>
          <cell r="D55">
            <v>1</v>
          </cell>
          <cell r="E55">
            <v>89.47</v>
          </cell>
          <cell r="F55">
            <v>0.48299999999999998</v>
          </cell>
          <cell r="V55">
            <v>0.51</v>
          </cell>
          <cell r="BD55">
            <v>1.2</v>
          </cell>
          <cell r="BE55">
            <v>5.7000000000000002E-2</v>
          </cell>
        </row>
        <row r="56">
          <cell r="A56">
            <v>51</v>
          </cell>
          <cell r="B56" t="str">
            <v>X©y mÆt b»ng m¸i dèc cong ®¸ héc VXM 75</v>
          </cell>
          <cell r="C56" t="str">
            <v>m3</v>
          </cell>
          <cell r="D56">
            <v>1</v>
          </cell>
          <cell r="E56">
            <v>124.33</v>
          </cell>
          <cell r="F56">
            <v>0.47</v>
          </cell>
          <cell r="V56">
            <v>0.51</v>
          </cell>
          <cell r="BD56">
            <v>1.2</v>
          </cell>
          <cell r="BE56">
            <v>5.7000000000000002E-2</v>
          </cell>
        </row>
        <row r="57">
          <cell r="A57">
            <v>52</v>
          </cell>
          <cell r="B57" t="str">
            <v>X©y mÆt b»ng m¸i dèc cong ®¸ héc VXM 100</v>
          </cell>
          <cell r="C57" t="str">
            <v>m3</v>
          </cell>
          <cell r="D57">
            <v>1</v>
          </cell>
          <cell r="E57">
            <v>161.72</v>
          </cell>
          <cell r="F57">
            <v>0.45800000000000002</v>
          </cell>
          <cell r="V57">
            <v>0.51</v>
          </cell>
          <cell r="BD57">
            <v>1.2</v>
          </cell>
          <cell r="BE57">
            <v>5.7000000000000002E-2</v>
          </cell>
        </row>
        <row r="58">
          <cell r="A58">
            <v>53</v>
          </cell>
          <cell r="B58" t="str">
            <v>X©y mãng g¹ch chØ VXM 50 dµy &lt;=33</v>
          </cell>
          <cell r="C58" t="str">
            <v>m3</v>
          </cell>
          <cell r="D58">
            <v>1</v>
          </cell>
          <cell r="E58">
            <v>66.709999999999994</v>
          </cell>
          <cell r="F58">
            <v>0.32500000000000001</v>
          </cell>
          <cell r="I58">
            <v>550</v>
          </cell>
        </row>
        <row r="59">
          <cell r="A59">
            <v>54</v>
          </cell>
          <cell r="B59" t="str">
            <v>X©y mãng g¹ch chØ VXM 75 dµy &lt;=33</v>
          </cell>
          <cell r="C59" t="str">
            <v>m3</v>
          </cell>
          <cell r="D59">
            <v>1</v>
          </cell>
          <cell r="E59">
            <v>92.81</v>
          </cell>
          <cell r="F59">
            <v>0.316</v>
          </cell>
          <cell r="I59">
            <v>550</v>
          </cell>
        </row>
        <row r="60">
          <cell r="A60">
            <v>55</v>
          </cell>
          <cell r="B60" t="str">
            <v>X©y mãng g¹ch chØ VXM 100 dµy &lt;=33</v>
          </cell>
          <cell r="C60" t="str">
            <v>m3</v>
          </cell>
          <cell r="D60">
            <v>1</v>
          </cell>
          <cell r="E60">
            <v>118.91</v>
          </cell>
          <cell r="F60">
            <v>0.30499999999999999</v>
          </cell>
          <cell r="I60">
            <v>550</v>
          </cell>
        </row>
        <row r="61">
          <cell r="A61">
            <v>56</v>
          </cell>
          <cell r="B61" t="str">
            <v>X©y mãng VXM 50 dµy &gt;33</v>
          </cell>
          <cell r="C61" t="str">
            <v>m3</v>
          </cell>
          <cell r="D61">
            <v>1</v>
          </cell>
          <cell r="E61">
            <v>69.010000000000005</v>
          </cell>
          <cell r="F61">
            <v>0.33600000000000002</v>
          </cell>
          <cell r="I61">
            <v>539</v>
          </cell>
        </row>
        <row r="62">
          <cell r="A62">
            <v>57</v>
          </cell>
          <cell r="B62" t="str">
            <v>X©y mãng VXM 75 dµy &gt;33</v>
          </cell>
          <cell r="C62" t="str">
            <v>m3</v>
          </cell>
          <cell r="D62">
            <v>1</v>
          </cell>
          <cell r="E62">
            <v>96.01</v>
          </cell>
          <cell r="F62">
            <v>0.33</v>
          </cell>
          <cell r="I62">
            <v>539</v>
          </cell>
        </row>
        <row r="63">
          <cell r="A63">
            <v>58</v>
          </cell>
          <cell r="B63" t="str">
            <v>X©y mãng VXM 100 dµy &gt;33</v>
          </cell>
          <cell r="C63" t="str">
            <v>m3</v>
          </cell>
          <cell r="D63">
            <v>1</v>
          </cell>
          <cell r="E63">
            <v>123</v>
          </cell>
          <cell r="F63">
            <v>0.315</v>
          </cell>
          <cell r="I63">
            <v>539</v>
          </cell>
        </row>
        <row r="64">
          <cell r="A64">
            <v>59</v>
          </cell>
          <cell r="B64" t="str">
            <v>X©y t­êng g¹ch&lt;= 11 VTH c¸t ®en  25 cao&lt;=4m</v>
          </cell>
          <cell r="C64" t="str">
            <v>m3</v>
          </cell>
          <cell r="D64">
            <v>1</v>
          </cell>
          <cell r="E64">
            <v>27.83</v>
          </cell>
          <cell r="G64">
            <v>0.26</v>
          </cell>
          <cell r="I64">
            <v>643</v>
          </cell>
          <cell r="J64">
            <v>21.35</v>
          </cell>
          <cell r="K64">
            <v>0.5</v>
          </cell>
          <cell r="L64">
            <v>3.0000000000000001E-3</v>
          </cell>
          <cell r="BO64">
            <v>0.23</v>
          </cell>
        </row>
        <row r="65">
          <cell r="A65">
            <v>60</v>
          </cell>
          <cell r="B65" t="str">
            <v>X©y t­êng g¹ch&lt;= 11 VTH c¸t ®en  50 cao&lt;=4m</v>
          </cell>
          <cell r="C65" t="str">
            <v>m3</v>
          </cell>
          <cell r="D65">
            <v>1</v>
          </cell>
          <cell r="E65">
            <v>51.76</v>
          </cell>
          <cell r="G65">
            <v>0.253</v>
          </cell>
          <cell r="I65">
            <v>643</v>
          </cell>
          <cell r="J65">
            <v>15.08</v>
          </cell>
          <cell r="K65">
            <v>0.5</v>
          </cell>
          <cell r="L65">
            <v>3.0000000000000001E-3</v>
          </cell>
          <cell r="BO65">
            <v>0.23</v>
          </cell>
        </row>
        <row r="66">
          <cell r="A66">
            <v>61</v>
          </cell>
          <cell r="B66" t="str">
            <v>X©y t­êng g¹ch&lt;= 11 VTH c¸t ®en  75 cao&lt;=4m</v>
          </cell>
          <cell r="C66" t="str">
            <v>m3</v>
          </cell>
          <cell r="D66">
            <v>1</v>
          </cell>
          <cell r="E66">
            <v>73.430000000000007</v>
          </cell>
          <cell r="G66">
            <v>0.246</v>
          </cell>
          <cell r="I66">
            <v>643</v>
          </cell>
          <cell r="J66">
            <v>10.32</v>
          </cell>
          <cell r="K66">
            <v>0.5</v>
          </cell>
          <cell r="L66">
            <v>3.0000000000000001E-3</v>
          </cell>
          <cell r="BO66">
            <v>0.23</v>
          </cell>
        </row>
        <row r="67">
          <cell r="A67">
            <v>62</v>
          </cell>
          <cell r="B67" t="str">
            <v>X©y t­êng g¹ch&lt;= 11 VXM c¸t vµng  50 cao&lt;=4m</v>
          </cell>
          <cell r="C67" t="str">
            <v>m3</v>
          </cell>
          <cell r="D67">
            <v>1</v>
          </cell>
          <cell r="E67">
            <v>52.91</v>
          </cell>
          <cell r="F67">
            <v>0.25800000000000001</v>
          </cell>
          <cell r="I67">
            <v>643</v>
          </cell>
          <cell r="K67">
            <v>0.5</v>
          </cell>
          <cell r="L67">
            <v>3.0000000000000001E-3</v>
          </cell>
          <cell r="BO67">
            <v>0.23</v>
          </cell>
        </row>
        <row r="68">
          <cell r="A68">
            <v>63</v>
          </cell>
          <cell r="B68" t="str">
            <v>X©y t­êng g¹ch&lt;= 11 VXM c¸t vµng  75 cao&lt;=4m</v>
          </cell>
          <cell r="C68" t="str">
            <v>m3</v>
          </cell>
          <cell r="D68">
            <v>1</v>
          </cell>
          <cell r="E68">
            <v>73.61</v>
          </cell>
          <cell r="F68">
            <v>0.251</v>
          </cell>
          <cell r="I68">
            <v>643</v>
          </cell>
          <cell r="K68">
            <v>0.5</v>
          </cell>
          <cell r="L68">
            <v>3.0000000000000001E-3</v>
          </cell>
          <cell r="BO68">
            <v>0.23</v>
          </cell>
        </row>
        <row r="69">
          <cell r="A69">
            <v>64</v>
          </cell>
          <cell r="B69" t="str">
            <v>X©y t­êng g¹ch&lt;= 11 VXM c¸t vµng  100 cao&lt;=4m</v>
          </cell>
          <cell r="C69" t="str">
            <v>m3</v>
          </cell>
          <cell r="D69">
            <v>1</v>
          </cell>
          <cell r="E69">
            <v>94.31</v>
          </cell>
          <cell r="F69">
            <v>0.24199999999999999</v>
          </cell>
          <cell r="I69">
            <v>643</v>
          </cell>
          <cell r="K69">
            <v>0.5</v>
          </cell>
          <cell r="L69">
            <v>3.0000000000000001E-3</v>
          </cell>
          <cell r="BO69">
            <v>0.23</v>
          </cell>
        </row>
        <row r="70">
          <cell r="A70">
            <v>65</v>
          </cell>
          <cell r="B70" t="str">
            <v>X©y t­êng g¹ch&lt;= 11 VTH c¸t ®en 25 cao&gt;4m</v>
          </cell>
          <cell r="C70" t="str">
            <v>m3</v>
          </cell>
          <cell r="D70">
            <v>1</v>
          </cell>
          <cell r="E70">
            <v>27.83</v>
          </cell>
          <cell r="G70">
            <v>0.26</v>
          </cell>
          <cell r="I70">
            <v>643</v>
          </cell>
          <cell r="J70">
            <v>21.35</v>
          </cell>
          <cell r="K70">
            <v>1.62</v>
          </cell>
          <cell r="L70">
            <v>0.01</v>
          </cell>
          <cell r="BO70">
            <v>0.46</v>
          </cell>
        </row>
        <row r="71">
          <cell r="A71">
            <v>66</v>
          </cell>
          <cell r="B71" t="str">
            <v>X©y t­êng g¹ch&lt;= 11 VTH c¸t ®en 50 cao&gt;4m</v>
          </cell>
          <cell r="C71" t="str">
            <v>m3</v>
          </cell>
          <cell r="D71">
            <v>1</v>
          </cell>
          <cell r="E71">
            <v>51.76</v>
          </cell>
          <cell r="G71">
            <v>0.253</v>
          </cell>
          <cell r="I71">
            <v>643</v>
          </cell>
          <cell r="J71">
            <v>15.08</v>
          </cell>
          <cell r="K71">
            <v>1.62</v>
          </cell>
          <cell r="L71">
            <v>0.01</v>
          </cell>
          <cell r="BO71">
            <v>0.46</v>
          </cell>
        </row>
        <row r="72">
          <cell r="A72">
            <v>67</v>
          </cell>
          <cell r="B72" t="str">
            <v>X©y t­êng g¹ch&lt;= 11 VTH c¸t ®en 75 cao&gt;4m</v>
          </cell>
          <cell r="C72" t="str">
            <v>m3</v>
          </cell>
          <cell r="D72">
            <v>1</v>
          </cell>
          <cell r="E72">
            <v>73.430000000000007</v>
          </cell>
          <cell r="G72">
            <v>0.246</v>
          </cell>
          <cell r="I72">
            <v>643</v>
          </cell>
          <cell r="J72">
            <v>10.32</v>
          </cell>
          <cell r="K72">
            <v>1.62</v>
          </cell>
          <cell r="L72">
            <v>0.01</v>
          </cell>
          <cell r="BO72">
            <v>0.46</v>
          </cell>
        </row>
        <row r="73">
          <cell r="A73">
            <v>68</v>
          </cell>
          <cell r="B73" t="str">
            <v>X©y t­êng g¹ch&lt;= 11 VXM c¸t vµng  50 cao&gt;4m</v>
          </cell>
          <cell r="C73" t="str">
            <v>m3</v>
          </cell>
          <cell r="D73">
            <v>1</v>
          </cell>
          <cell r="E73">
            <v>52.91</v>
          </cell>
          <cell r="F73">
            <v>0.25800000000000001</v>
          </cell>
          <cell r="I73">
            <v>643</v>
          </cell>
          <cell r="K73">
            <v>1.62</v>
          </cell>
          <cell r="L73">
            <v>0.01</v>
          </cell>
          <cell r="BO73">
            <v>0.46</v>
          </cell>
        </row>
        <row r="74">
          <cell r="A74">
            <v>69</v>
          </cell>
          <cell r="B74" t="str">
            <v>X©y t­êng g¹ch&lt;= 11 VXM c¸t vµng  75 cao&gt;4m</v>
          </cell>
          <cell r="C74" t="str">
            <v>m3</v>
          </cell>
          <cell r="D74">
            <v>1</v>
          </cell>
          <cell r="E74">
            <v>73.61</v>
          </cell>
          <cell r="F74">
            <v>0.251</v>
          </cell>
          <cell r="I74">
            <v>643</v>
          </cell>
          <cell r="K74">
            <v>1.62</v>
          </cell>
          <cell r="L74">
            <v>0.01</v>
          </cell>
          <cell r="BO74">
            <v>0.46</v>
          </cell>
        </row>
        <row r="75">
          <cell r="A75">
            <v>70</v>
          </cell>
          <cell r="B75" t="str">
            <v>X©y t­êng g¹ch&lt;= 11 VXM c¸t vµng  100 cao&gt;4m</v>
          </cell>
          <cell r="C75" t="str">
            <v>m3</v>
          </cell>
          <cell r="D75">
            <v>1</v>
          </cell>
          <cell r="E75">
            <v>94.31</v>
          </cell>
          <cell r="F75">
            <v>0.24199999999999999</v>
          </cell>
          <cell r="I75">
            <v>643</v>
          </cell>
          <cell r="K75">
            <v>1.62</v>
          </cell>
          <cell r="L75">
            <v>0.01</v>
          </cell>
          <cell r="BO75">
            <v>0.46</v>
          </cell>
        </row>
        <row r="76">
          <cell r="A76">
            <v>71</v>
          </cell>
          <cell r="B76" t="str">
            <v>X©y t­êng g¹ch &lt;=33 VTH c¸t ®en 25 cao&lt;=4m</v>
          </cell>
          <cell r="C76" t="str">
            <v>m3</v>
          </cell>
          <cell r="D76">
            <v>1</v>
          </cell>
          <cell r="E76">
            <v>35.090000000000003</v>
          </cell>
          <cell r="G76">
            <v>0.32800000000000001</v>
          </cell>
          <cell r="I76">
            <v>550</v>
          </cell>
          <cell r="J76">
            <v>26.92</v>
          </cell>
          <cell r="K76">
            <v>0.5</v>
          </cell>
          <cell r="L76">
            <v>3.0000000000000001E-3</v>
          </cell>
          <cell r="BO76">
            <v>0.23</v>
          </cell>
        </row>
        <row r="77">
          <cell r="A77">
            <v>72</v>
          </cell>
          <cell r="B77" t="str">
            <v>X©y t­êng g¹ch &lt;=33 VTH c¸t ®en 50 cao&lt;=4m</v>
          </cell>
          <cell r="C77" t="str">
            <v>m3</v>
          </cell>
          <cell r="D77">
            <v>1</v>
          </cell>
          <cell r="E77">
            <v>65.260000000000005</v>
          </cell>
          <cell r="G77">
            <v>0.31900000000000001</v>
          </cell>
          <cell r="I77">
            <v>550</v>
          </cell>
          <cell r="J77">
            <v>19.52</v>
          </cell>
          <cell r="K77">
            <v>0.5</v>
          </cell>
          <cell r="L77">
            <v>3.0000000000000001E-3</v>
          </cell>
          <cell r="BO77">
            <v>0.23</v>
          </cell>
        </row>
        <row r="78">
          <cell r="A78">
            <v>73</v>
          </cell>
          <cell r="B78" t="str">
            <v>X©y t­êng g¹ch &lt;=33 VTH c¸t ®en 75 cao&lt;=4m</v>
          </cell>
          <cell r="C78" t="str">
            <v>m3</v>
          </cell>
          <cell r="D78">
            <v>1</v>
          </cell>
          <cell r="E78">
            <v>92.58</v>
          </cell>
          <cell r="G78">
            <v>0.31</v>
          </cell>
          <cell r="I78">
            <v>550</v>
          </cell>
          <cell r="J78">
            <v>13.02</v>
          </cell>
          <cell r="K78">
            <v>0.5</v>
          </cell>
          <cell r="L78">
            <v>3.0000000000000001E-3</v>
          </cell>
          <cell r="BO78">
            <v>0.23</v>
          </cell>
        </row>
        <row r="79">
          <cell r="A79">
            <v>74</v>
          </cell>
          <cell r="B79" t="str">
            <v>X©y t­êng g¹ch&lt;= 33 VXM c¸t vµng  50 cao&lt;=4m</v>
          </cell>
          <cell r="C79" t="str">
            <v>m3</v>
          </cell>
          <cell r="D79">
            <v>1</v>
          </cell>
          <cell r="E79">
            <v>66.709999999999994</v>
          </cell>
          <cell r="F79">
            <v>0.32500000000000001</v>
          </cell>
          <cell r="I79">
            <v>550</v>
          </cell>
          <cell r="K79">
            <v>0.5</v>
          </cell>
          <cell r="L79">
            <v>3.0000000000000001E-3</v>
          </cell>
          <cell r="BO79">
            <v>0.23</v>
          </cell>
        </row>
        <row r="80">
          <cell r="A80">
            <v>75</v>
          </cell>
          <cell r="B80" t="str">
            <v>X©y t­êng g¹ch&lt;= 33 VXM c¸t vµng  75 cao&lt;=4m</v>
          </cell>
          <cell r="C80" t="str">
            <v>m3</v>
          </cell>
          <cell r="D80">
            <v>1</v>
          </cell>
          <cell r="E80">
            <v>92.81</v>
          </cell>
          <cell r="F80">
            <v>0.316</v>
          </cell>
          <cell r="I80">
            <v>550</v>
          </cell>
          <cell r="K80">
            <v>0.5</v>
          </cell>
          <cell r="L80">
            <v>3.0000000000000001E-3</v>
          </cell>
          <cell r="BO80">
            <v>0.23</v>
          </cell>
        </row>
        <row r="81">
          <cell r="A81">
            <v>76</v>
          </cell>
          <cell r="B81" t="str">
            <v>X©y t­êng g¹ch&lt;= 33 VXM c¸t vµng  100 cao&lt;=4m</v>
          </cell>
          <cell r="C81" t="str">
            <v>m3</v>
          </cell>
          <cell r="D81">
            <v>1</v>
          </cell>
          <cell r="E81">
            <v>118.91</v>
          </cell>
          <cell r="F81">
            <v>0.30499999999999999</v>
          </cell>
          <cell r="I81">
            <v>550</v>
          </cell>
          <cell r="K81">
            <v>0.5</v>
          </cell>
          <cell r="L81">
            <v>3.0000000000000001E-3</v>
          </cell>
          <cell r="BO81">
            <v>0.23</v>
          </cell>
        </row>
        <row r="82">
          <cell r="A82">
            <v>77</v>
          </cell>
          <cell r="B82" t="str">
            <v>X©y t­êng g¹ch &lt;=33 VTH c¸t ®en 25 cao&gt;4m</v>
          </cell>
          <cell r="C82" t="str">
            <v>m3</v>
          </cell>
          <cell r="D82">
            <v>1</v>
          </cell>
          <cell r="E82">
            <v>35.090000000000003</v>
          </cell>
          <cell r="G82">
            <v>0.32800000000000001</v>
          </cell>
          <cell r="I82">
            <v>550</v>
          </cell>
          <cell r="J82">
            <v>26.92</v>
          </cell>
          <cell r="K82">
            <v>1.62</v>
          </cell>
          <cell r="L82">
            <v>0.01</v>
          </cell>
          <cell r="BO82">
            <v>0.46</v>
          </cell>
        </row>
        <row r="83">
          <cell r="A83">
            <v>78</v>
          </cell>
          <cell r="B83" t="str">
            <v>X©y t­êng g¹ch &lt;=33 VTH c¸t ®en 50 cao&gt;4m</v>
          </cell>
          <cell r="C83" t="str">
            <v>m3</v>
          </cell>
          <cell r="D83">
            <v>1</v>
          </cell>
          <cell r="E83">
            <v>65.260000000000005</v>
          </cell>
          <cell r="G83">
            <v>0.31900000000000001</v>
          </cell>
          <cell r="I83">
            <v>550</v>
          </cell>
          <cell r="J83">
            <v>19.52</v>
          </cell>
          <cell r="K83">
            <v>1.62</v>
          </cell>
          <cell r="L83">
            <v>0.01</v>
          </cell>
          <cell r="BO83">
            <v>0.46</v>
          </cell>
        </row>
        <row r="84">
          <cell r="A84">
            <v>79</v>
          </cell>
          <cell r="B84" t="str">
            <v>X©y t­êng g¹ch &lt;=33 VTH c¸t ®en 75 cao&gt;4m</v>
          </cell>
          <cell r="C84" t="str">
            <v>m3</v>
          </cell>
          <cell r="D84">
            <v>1</v>
          </cell>
          <cell r="E84">
            <v>92.58</v>
          </cell>
          <cell r="G84">
            <v>0.31</v>
          </cell>
          <cell r="I84">
            <v>550</v>
          </cell>
          <cell r="J84">
            <v>13.02</v>
          </cell>
          <cell r="K84">
            <v>1.62</v>
          </cell>
          <cell r="L84">
            <v>0.01</v>
          </cell>
          <cell r="BO84">
            <v>0.46</v>
          </cell>
        </row>
        <row r="85">
          <cell r="A85">
            <v>80</v>
          </cell>
          <cell r="B85" t="str">
            <v>X©y t­êng g¹ch&lt;= 33 VXM c¸t vµng  50 cao&gt;4m</v>
          </cell>
          <cell r="C85" t="str">
            <v>m3</v>
          </cell>
          <cell r="D85">
            <v>1</v>
          </cell>
          <cell r="E85">
            <v>66.709999999999994</v>
          </cell>
          <cell r="F85">
            <v>0.32500000000000001</v>
          </cell>
          <cell r="BO85">
            <v>0.46</v>
          </cell>
        </row>
        <row r="86">
          <cell r="A86">
            <v>81</v>
          </cell>
          <cell r="B86" t="str">
            <v>X©y t­êng g¹ch&lt;= 33 VXM c¸t vµng  75 cao&gt;4m</v>
          </cell>
          <cell r="C86" t="str">
            <v>m3</v>
          </cell>
          <cell r="D86">
            <v>1</v>
          </cell>
          <cell r="E86">
            <v>92.81</v>
          </cell>
          <cell r="F86">
            <v>0.316</v>
          </cell>
          <cell r="BO86">
            <v>0.46</v>
          </cell>
        </row>
        <row r="87">
          <cell r="A87">
            <v>82</v>
          </cell>
          <cell r="B87" t="str">
            <v>X©y t­êng g¹ch&lt;= 33 VXM c¸t vµng  100 cao&gt;4m</v>
          </cell>
          <cell r="C87" t="str">
            <v>m3</v>
          </cell>
          <cell r="D87">
            <v>1</v>
          </cell>
          <cell r="E87">
            <v>118.91</v>
          </cell>
          <cell r="F87">
            <v>0.30499999999999999</v>
          </cell>
          <cell r="BO87">
            <v>0.46</v>
          </cell>
        </row>
        <row r="88">
          <cell r="A88">
            <v>83</v>
          </cell>
          <cell r="B88" t="str">
            <v>X©y t­êng g¹ch &gt;33 VTH c¸t ®en 25 cao&lt;=4m</v>
          </cell>
          <cell r="C88" t="str">
            <v>m3</v>
          </cell>
          <cell r="D88">
            <v>1</v>
          </cell>
          <cell r="E88">
            <v>36.299999999999997</v>
          </cell>
          <cell r="G88">
            <v>0.33900000000000002</v>
          </cell>
          <cell r="I88">
            <v>539</v>
          </cell>
          <cell r="J88">
            <v>27.85</v>
          </cell>
          <cell r="K88">
            <v>0.4</v>
          </cell>
          <cell r="L88">
            <v>2.3999999999999998E-3</v>
          </cell>
          <cell r="BO88">
            <v>0.2</v>
          </cell>
        </row>
        <row r="89">
          <cell r="A89">
            <v>84</v>
          </cell>
          <cell r="B89" t="str">
            <v>X©y t­êng g¹ch &gt;33 VTH c¸t ®en 50 cao&lt;=4m</v>
          </cell>
          <cell r="C89" t="str">
            <v>m3</v>
          </cell>
          <cell r="D89">
            <v>1</v>
          </cell>
          <cell r="E89">
            <v>67.510000000000005</v>
          </cell>
          <cell r="G89">
            <v>0.33</v>
          </cell>
          <cell r="I89">
            <v>539</v>
          </cell>
          <cell r="J89">
            <v>20.2</v>
          </cell>
          <cell r="K89">
            <v>0.4</v>
          </cell>
          <cell r="L89">
            <v>2.3999999999999998E-3</v>
          </cell>
          <cell r="BO89">
            <v>0.2</v>
          </cell>
        </row>
        <row r="90">
          <cell r="A90">
            <v>85</v>
          </cell>
          <cell r="B90" t="str">
            <v>X©y t­êng g¹ch &gt;33 VTH c¸t ®en 75 cao&lt;=4m</v>
          </cell>
          <cell r="C90" t="str">
            <v>m3</v>
          </cell>
          <cell r="D90">
            <v>1</v>
          </cell>
          <cell r="E90">
            <v>95.78</v>
          </cell>
          <cell r="G90">
            <v>0.32100000000000001</v>
          </cell>
          <cell r="I90">
            <v>539</v>
          </cell>
          <cell r="J90">
            <v>13.46</v>
          </cell>
          <cell r="K90">
            <v>0.4</v>
          </cell>
          <cell r="L90">
            <v>2.3999999999999998E-3</v>
          </cell>
          <cell r="BO90">
            <v>0.2</v>
          </cell>
        </row>
        <row r="91">
          <cell r="A91">
            <v>86</v>
          </cell>
          <cell r="B91" t="str">
            <v>X©y t­êng g¹ch&gt; 33 VXM c¸t vµng  50 cao&lt;=4m</v>
          </cell>
          <cell r="C91" t="str">
            <v>m3</v>
          </cell>
          <cell r="D91">
            <v>1</v>
          </cell>
          <cell r="E91">
            <v>69.010000000000005</v>
          </cell>
          <cell r="F91">
            <v>0.33600000000000002</v>
          </cell>
          <cell r="I91">
            <v>539</v>
          </cell>
          <cell r="K91">
            <v>0.4</v>
          </cell>
          <cell r="L91">
            <v>2.3999999999999998E-3</v>
          </cell>
          <cell r="BO91">
            <v>0.2</v>
          </cell>
        </row>
        <row r="92">
          <cell r="A92">
            <v>87</v>
          </cell>
          <cell r="B92" t="str">
            <v>X©y t­êng g¹ch&gt; 33 VXM c¸t vµng  75 cao&lt;=4m</v>
          </cell>
          <cell r="C92" t="str">
            <v>m3</v>
          </cell>
          <cell r="D92">
            <v>1</v>
          </cell>
          <cell r="E92">
            <v>96.01</v>
          </cell>
          <cell r="F92">
            <v>0.33</v>
          </cell>
          <cell r="I92">
            <v>539</v>
          </cell>
          <cell r="K92">
            <v>0.4</v>
          </cell>
          <cell r="L92">
            <v>2.3999999999999998E-3</v>
          </cell>
          <cell r="BO92">
            <v>0.2</v>
          </cell>
        </row>
        <row r="93">
          <cell r="A93">
            <v>88</v>
          </cell>
          <cell r="B93" t="str">
            <v>X©y t­êng g¹ch&gt; 33 VXM c¸t vµng  100 cao&lt;=4m</v>
          </cell>
          <cell r="C93" t="str">
            <v>m3</v>
          </cell>
          <cell r="D93">
            <v>1</v>
          </cell>
          <cell r="E93">
            <v>123</v>
          </cell>
          <cell r="F93">
            <v>0.315</v>
          </cell>
          <cell r="I93">
            <v>539</v>
          </cell>
          <cell r="K93">
            <v>0.4</v>
          </cell>
          <cell r="L93">
            <v>2.3999999999999998E-3</v>
          </cell>
          <cell r="BO93">
            <v>0.2</v>
          </cell>
        </row>
        <row r="94">
          <cell r="A94">
            <v>89</v>
          </cell>
          <cell r="B94" t="str">
            <v>X©y t­êng g¹ch &gt;33 VTH c¸t ®en 25 cao&gt;4m</v>
          </cell>
          <cell r="C94" t="str">
            <v>m3</v>
          </cell>
          <cell r="D94">
            <v>1</v>
          </cell>
          <cell r="E94">
            <v>36.299999999999997</v>
          </cell>
          <cell r="G94">
            <v>0.33900000000000002</v>
          </cell>
          <cell r="I94">
            <v>539</v>
          </cell>
          <cell r="J94">
            <v>27.85</v>
          </cell>
          <cell r="K94">
            <v>1.1599999999999999</v>
          </cell>
          <cell r="L94">
            <v>8.0000000000000002E-3</v>
          </cell>
          <cell r="BO94">
            <v>0.35</v>
          </cell>
        </row>
        <row r="95">
          <cell r="A95">
            <v>90</v>
          </cell>
          <cell r="B95" t="str">
            <v>X©y t­êng g¹ch &gt;33 VTH c¸t ®en 50 cao&gt;4m</v>
          </cell>
          <cell r="C95" t="str">
            <v>m3</v>
          </cell>
          <cell r="D95">
            <v>1</v>
          </cell>
          <cell r="E95">
            <v>67.510000000000005</v>
          </cell>
          <cell r="G95">
            <v>0.33</v>
          </cell>
          <cell r="I95">
            <v>539</v>
          </cell>
          <cell r="J95">
            <v>20.2</v>
          </cell>
          <cell r="K95">
            <v>1.1599999999999999</v>
          </cell>
          <cell r="L95">
            <v>8.0000000000000002E-3</v>
          </cell>
          <cell r="BO95">
            <v>0.35</v>
          </cell>
        </row>
        <row r="96">
          <cell r="A96">
            <v>91</v>
          </cell>
          <cell r="B96" t="str">
            <v>X©y t­êng g¹ch &gt;33 VTH c¸t ®en 75 cao&gt;4m</v>
          </cell>
          <cell r="C96" t="str">
            <v>m3</v>
          </cell>
          <cell r="D96">
            <v>1</v>
          </cell>
          <cell r="E96">
            <v>95.78</v>
          </cell>
          <cell r="G96">
            <v>0.32100000000000001</v>
          </cell>
          <cell r="I96">
            <v>539</v>
          </cell>
          <cell r="J96">
            <v>13.46</v>
          </cell>
          <cell r="K96">
            <v>1.1599999999999999</v>
          </cell>
          <cell r="L96">
            <v>8.0000000000000002E-3</v>
          </cell>
          <cell r="BO96">
            <v>0.35</v>
          </cell>
        </row>
        <row r="97">
          <cell r="A97">
            <v>92</v>
          </cell>
          <cell r="B97" t="str">
            <v>X©y t­êng g¹ch&gt; 33 VXM c¸t vµng  50 cao&gt;4m</v>
          </cell>
          <cell r="C97" t="str">
            <v>m3</v>
          </cell>
          <cell r="D97">
            <v>1</v>
          </cell>
          <cell r="E97">
            <v>69.010000000000005</v>
          </cell>
          <cell r="F97">
            <v>0.33600000000000002</v>
          </cell>
          <cell r="I97">
            <v>539</v>
          </cell>
          <cell r="K97">
            <v>1.1599999999999999</v>
          </cell>
          <cell r="L97">
            <v>8.0000000000000002E-3</v>
          </cell>
          <cell r="BO97">
            <v>0.35</v>
          </cell>
        </row>
        <row r="98">
          <cell r="A98">
            <v>93</v>
          </cell>
          <cell r="B98" t="str">
            <v>X©y t­êng g¹ch&gt; 33 VXM c¸t vµng  75 cao&gt;4m</v>
          </cell>
          <cell r="C98" t="str">
            <v>m3</v>
          </cell>
          <cell r="D98">
            <v>1</v>
          </cell>
          <cell r="E98">
            <v>96.01</v>
          </cell>
          <cell r="F98">
            <v>0.33</v>
          </cell>
          <cell r="I98">
            <v>539</v>
          </cell>
          <cell r="K98">
            <v>1.1599999999999999</v>
          </cell>
          <cell r="L98">
            <v>8.0000000000000002E-3</v>
          </cell>
          <cell r="BO98">
            <v>0.35</v>
          </cell>
        </row>
        <row r="99">
          <cell r="A99">
            <v>94</v>
          </cell>
          <cell r="B99" t="str">
            <v>X©y t­êng g¹ch&gt; 33 VXM c¸t vµng  100 cao&gt;4m</v>
          </cell>
          <cell r="C99" t="str">
            <v>m3</v>
          </cell>
          <cell r="D99">
            <v>1</v>
          </cell>
          <cell r="E99">
            <v>123</v>
          </cell>
          <cell r="F99">
            <v>0.315</v>
          </cell>
          <cell r="I99">
            <v>539</v>
          </cell>
          <cell r="K99">
            <v>1.1599999999999999</v>
          </cell>
          <cell r="L99">
            <v>8.0000000000000002E-3</v>
          </cell>
          <cell r="BO99">
            <v>0.35</v>
          </cell>
        </row>
        <row r="100">
          <cell r="A100">
            <v>95</v>
          </cell>
          <cell r="B100" t="str">
            <v>X©y cét, trô ®éc lËp VTH c¸t ®en 25 cao&lt;=4m</v>
          </cell>
          <cell r="C100" t="str">
            <v>m3</v>
          </cell>
          <cell r="D100">
            <v>1</v>
          </cell>
          <cell r="E100">
            <v>36.299999999999997</v>
          </cell>
          <cell r="G100">
            <v>0.33900000000000002</v>
          </cell>
          <cell r="I100">
            <v>539</v>
          </cell>
          <cell r="J100">
            <v>27.85</v>
          </cell>
          <cell r="K100">
            <v>0.5</v>
          </cell>
          <cell r="L100">
            <v>3.0000000000000001E-3</v>
          </cell>
          <cell r="BO100">
            <v>0.23</v>
          </cell>
        </row>
        <row r="101">
          <cell r="A101">
            <v>96</v>
          </cell>
          <cell r="B101" t="str">
            <v>X©y cét, trô ®éc lËp VTH c¸t ®en 50 cao&lt;=4m</v>
          </cell>
          <cell r="C101" t="str">
            <v>m3</v>
          </cell>
          <cell r="D101">
            <v>1</v>
          </cell>
          <cell r="E101">
            <v>67.510000000000005</v>
          </cell>
          <cell r="G101">
            <v>0.33</v>
          </cell>
          <cell r="I101">
            <v>539</v>
          </cell>
          <cell r="J101">
            <v>20.2</v>
          </cell>
          <cell r="K101">
            <v>0.5</v>
          </cell>
          <cell r="L101">
            <v>3.0000000000000001E-3</v>
          </cell>
          <cell r="BO101">
            <v>0.23</v>
          </cell>
        </row>
        <row r="102">
          <cell r="A102">
            <v>97</v>
          </cell>
          <cell r="B102" t="str">
            <v>X©y cét, trô ®éc lËp VTH c¸t ®en 75 cao&lt;=4m</v>
          </cell>
          <cell r="C102" t="str">
            <v>m3</v>
          </cell>
          <cell r="D102">
            <v>1</v>
          </cell>
          <cell r="E102">
            <v>95.78</v>
          </cell>
          <cell r="G102">
            <v>0.32100000000000001</v>
          </cell>
          <cell r="I102">
            <v>539</v>
          </cell>
          <cell r="J102">
            <v>13.46</v>
          </cell>
          <cell r="K102">
            <v>0.5</v>
          </cell>
          <cell r="L102">
            <v>3.0000000000000001E-3</v>
          </cell>
          <cell r="BO102">
            <v>0.23</v>
          </cell>
        </row>
        <row r="103">
          <cell r="A103">
            <v>98</v>
          </cell>
          <cell r="B103" t="str">
            <v>X©y cét trô ®éc lËp VXM c¸t vµng  50 cao&lt;=4m</v>
          </cell>
          <cell r="C103" t="str">
            <v>m3</v>
          </cell>
          <cell r="D103">
            <v>1</v>
          </cell>
          <cell r="E103">
            <v>69.010000000000005</v>
          </cell>
          <cell r="F103">
            <v>0.33600000000000002</v>
          </cell>
          <cell r="I103">
            <v>539</v>
          </cell>
          <cell r="K103">
            <v>0.5</v>
          </cell>
          <cell r="L103">
            <v>3.0000000000000001E-3</v>
          </cell>
          <cell r="BO103">
            <v>3.0000000000000001E-3</v>
          </cell>
        </row>
        <row r="104">
          <cell r="A104">
            <v>99</v>
          </cell>
          <cell r="B104" t="str">
            <v>X©y cét trô ®éc lËp VXM c¸t vµng  75 cao&lt;=4m</v>
          </cell>
          <cell r="C104" t="str">
            <v>m3</v>
          </cell>
          <cell r="D104">
            <v>1</v>
          </cell>
          <cell r="E104">
            <v>96.01</v>
          </cell>
          <cell r="F104">
            <v>0.33</v>
          </cell>
          <cell r="I104">
            <v>539</v>
          </cell>
          <cell r="K104">
            <v>0.5</v>
          </cell>
          <cell r="L104">
            <v>3.0000000000000001E-3</v>
          </cell>
          <cell r="BO104">
            <v>3.0000000000000001E-3</v>
          </cell>
        </row>
        <row r="105">
          <cell r="A105">
            <v>100</v>
          </cell>
          <cell r="B105" t="str">
            <v>X©y cét trô ®éc lËp VXM c¸t vµng 100 cao&lt;=4m</v>
          </cell>
          <cell r="C105" t="str">
            <v>m3</v>
          </cell>
          <cell r="D105">
            <v>1</v>
          </cell>
          <cell r="E105">
            <v>123</v>
          </cell>
          <cell r="F105">
            <v>0.315</v>
          </cell>
          <cell r="I105">
            <v>539</v>
          </cell>
          <cell r="K105">
            <v>0.5</v>
          </cell>
          <cell r="L105">
            <v>3.0000000000000001E-3</v>
          </cell>
          <cell r="BO105">
            <v>3.0000000000000001E-3</v>
          </cell>
        </row>
        <row r="106">
          <cell r="A106">
            <v>101</v>
          </cell>
          <cell r="B106" t="str">
            <v>X©y cét, trô ®éc lËp VTH c¸t ®en 25 cao&gt;4</v>
          </cell>
          <cell r="C106" t="str">
            <v>m3</v>
          </cell>
          <cell r="D106">
            <v>1</v>
          </cell>
          <cell r="E106">
            <v>36.299999999999997</v>
          </cell>
          <cell r="G106">
            <v>0.33900000000000002</v>
          </cell>
          <cell r="I106">
            <v>539</v>
          </cell>
          <cell r="J106">
            <v>27.85</v>
          </cell>
          <cell r="K106">
            <v>1.62</v>
          </cell>
          <cell r="L106">
            <v>0.01</v>
          </cell>
          <cell r="BO106">
            <v>0.46</v>
          </cell>
        </row>
        <row r="107">
          <cell r="A107">
            <v>102</v>
          </cell>
          <cell r="B107" t="str">
            <v>X©y cét, trô ®éc lËp VTH c¸t ®en 50 cao&gt;4</v>
          </cell>
          <cell r="C107" t="str">
            <v>m3</v>
          </cell>
          <cell r="D107">
            <v>1</v>
          </cell>
          <cell r="E107">
            <v>67.510000000000005</v>
          </cell>
          <cell r="G107">
            <v>0.33</v>
          </cell>
          <cell r="I107">
            <v>539</v>
          </cell>
          <cell r="J107">
            <v>20.2</v>
          </cell>
          <cell r="K107">
            <v>1.62</v>
          </cell>
          <cell r="L107">
            <v>0.01</v>
          </cell>
          <cell r="BO107">
            <v>0.46</v>
          </cell>
        </row>
        <row r="108">
          <cell r="A108">
            <v>103</v>
          </cell>
          <cell r="B108" t="str">
            <v>X©y cét, trô ®éc lËp VTH c¸t ®en 75 cao&gt;4</v>
          </cell>
          <cell r="C108" t="str">
            <v>m3</v>
          </cell>
          <cell r="D108">
            <v>1</v>
          </cell>
          <cell r="E108">
            <v>95.78</v>
          </cell>
          <cell r="G108">
            <v>0.32100000000000001</v>
          </cell>
          <cell r="I108">
            <v>539</v>
          </cell>
          <cell r="J108">
            <v>13.46</v>
          </cell>
          <cell r="K108">
            <v>1.62</v>
          </cell>
          <cell r="L108">
            <v>0.01</v>
          </cell>
          <cell r="BO108">
            <v>0.46</v>
          </cell>
        </row>
        <row r="109">
          <cell r="A109">
            <v>104</v>
          </cell>
          <cell r="B109" t="str">
            <v>X©y cét trô ®éc lËp VXM c¸t vµng  50 cao&gt;4m</v>
          </cell>
          <cell r="C109" t="str">
            <v>m3</v>
          </cell>
          <cell r="D109">
            <v>1</v>
          </cell>
          <cell r="E109">
            <v>69.010000000000005</v>
          </cell>
          <cell r="F109">
            <v>0.33600000000000002</v>
          </cell>
          <cell r="I109">
            <v>539</v>
          </cell>
          <cell r="K109">
            <v>1.62</v>
          </cell>
          <cell r="L109">
            <v>0.01</v>
          </cell>
          <cell r="BO109">
            <v>0.46</v>
          </cell>
        </row>
        <row r="110">
          <cell r="A110">
            <v>105</v>
          </cell>
          <cell r="B110" t="str">
            <v>X©y cét trô ®éc lËp VXM c¸t vµng  75 cao&gt;4m</v>
          </cell>
          <cell r="C110" t="str">
            <v>m3</v>
          </cell>
          <cell r="D110">
            <v>1</v>
          </cell>
          <cell r="E110">
            <v>96.01</v>
          </cell>
          <cell r="F110">
            <v>0.33</v>
          </cell>
          <cell r="I110">
            <v>539</v>
          </cell>
          <cell r="K110">
            <v>1.62</v>
          </cell>
          <cell r="L110">
            <v>0.01</v>
          </cell>
          <cell r="BO110">
            <v>0.46</v>
          </cell>
        </row>
        <row r="111">
          <cell r="A111">
            <v>106</v>
          </cell>
          <cell r="B111" t="str">
            <v>X©y cét trô ®éc lËp VXM c¸t vµng 100 cao&gt;4m</v>
          </cell>
          <cell r="C111" t="str">
            <v>m3</v>
          </cell>
          <cell r="D111">
            <v>1</v>
          </cell>
          <cell r="E111">
            <v>123</v>
          </cell>
          <cell r="F111">
            <v>0.315</v>
          </cell>
          <cell r="I111">
            <v>539</v>
          </cell>
          <cell r="K111">
            <v>1.62</v>
          </cell>
          <cell r="L111">
            <v>0.01</v>
          </cell>
          <cell r="BO111">
            <v>0.46</v>
          </cell>
        </row>
        <row r="112">
          <cell r="A112">
            <v>107</v>
          </cell>
          <cell r="B112" t="str">
            <v>X©y t­êng cong nghiªn vÆn vá ®ç&lt;= 33 VTH c¸t ®en  25 &lt;=4m</v>
          </cell>
          <cell r="C112" t="str">
            <v>m3</v>
          </cell>
          <cell r="D112">
            <v>1</v>
          </cell>
          <cell r="E112">
            <v>35.090000000000003</v>
          </cell>
          <cell r="G112">
            <v>0.32800000000000001</v>
          </cell>
          <cell r="I112">
            <v>550</v>
          </cell>
          <cell r="J112">
            <v>26.92</v>
          </cell>
          <cell r="K112">
            <v>0.5</v>
          </cell>
          <cell r="L112">
            <v>3.0000000000000001E-3</v>
          </cell>
          <cell r="BO112">
            <v>0.23</v>
          </cell>
        </row>
        <row r="113">
          <cell r="A113">
            <v>108</v>
          </cell>
          <cell r="B113" t="str">
            <v>X©y t­êng cong nghiªn vÆn vá ®ç&lt;= 33 VTH c¸t ®en  50 &lt;=4m</v>
          </cell>
          <cell r="C113" t="str">
            <v>m3</v>
          </cell>
          <cell r="D113">
            <v>1</v>
          </cell>
          <cell r="E113">
            <v>65.260000000000005</v>
          </cell>
          <cell r="G113">
            <v>0.31900000000000001</v>
          </cell>
          <cell r="I113">
            <v>550</v>
          </cell>
          <cell r="J113">
            <v>19.52</v>
          </cell>
          <cell r="K113">
            <v>0.5</v>
          </cell>
          <cell r="L113">
            <v>3.0000000000000001E-3</v>
          </cell>
          <cell r="BO113">
            <v>0.23</v>
          </cell>
        </row>
        <row r="114">
          <cell r="A114">
            <v>109</v>
          </cell>
          <cell r="B114" t="str">
            <v>X©y t­êng cong nghiªn vÆn vá ®ç&lt;= 33 VTH c¸t ®en  75 &lt;=4m</v>
          </cell>
          <cell r="C114" t="str">
            <v>m3</v>
          </cell>
          <cell r="D114">
            <v>1</v>
          </cell>
          <cell r="E114">
            <v>92.58</v>
          </cell>
          <cell r="G114">
            <v>0.31</v>
          </cell>
          <cell r="I114">
            <v>550</v>
          </cell>
          <cell r="J114">
            <v>13.02</v>
          </cell>
          <cell r="K114">
            <v>0.5</v>
          </cell>
          <cell r="L114">
            <v>3.0000000000000001E-3</v>
          </cell>
          <cell r="BO114">
            <v>0.23</v>
          </cell>
        </row>
        <row r="115">
          <cell r="A115">
            <v>110</v>
          </cell>
          <cell r="B115" t="str">
            <v>X©y t­êng cong nghiªn vÆn vá ®ç&lt;= 33 XMC c¸t vµng  50 &lt;=4m</v>
          </cell>
          <cell r="C115" t="str">
            <v>m3</v>
          </cell>
          <cell r="D115">
            <v>1</v>
          </cell>
          <cell r="E115">
            <v>66.709999999999994</v>
          </cell>
          <cell r="F115">
            <v>0.32500000000000001</v>
          </cell>
          <cell r="I115">
            <v>550</v>
          </cell>
          <cell r="K115">
            <v>0.5</v>
          </cell>
          <cell r="L115">
            <v>3.0000000000000001E-3</v>
          </cell>
          <cell r="BO115">
            <v>0.23</v>
          </cell>
        </row>
        <row r="116">
          <cell r="A116">
            <v>111</v>
          </cell>
          <cell r="B116" t="str">
            <v>X©y t­êng cong nghiªn vÆn vá ®ç&lt;= 33 XMC c¸t vµng  75 &lt;=4m</v>
          </cell>
          <cell r="C116" t="str">
            <v>m3</v>
          </cell>
          <cell r="D116">
            <v>1</v>
          </cell>
          <cell r="E116">
            <v>92.81</v>
          </cell>
          <cell r="F116">
            <v>0.316</v>
          </cell>
          <cell r="I116">
            <v>550</v>
          </cell>
          <cell r="K116">
            <v>0.5</v>
          </cell>
          <cell r="L116">
            <v>3.0000000000000001E-3</v>
          </cell>
          <cell r="BO116">
            <v>0.23</v>
          </cell>
        </row>
        <row r="117">
          <cell r="A117">
            <v>112</v>
          </cell>
          <cell r="B117" t="str">
            <v>X©y t­êng cong nghiªn vÆn vá ®ç&lt;= 33VMC c¸t vµng100 &lt;=4m</v>
          </cell>
          <cell r="C117" t="str">
            <v>m3</v>
          </cell>
          <cell r="D117">
            <v>1</v>
          </cell>
          <cell r="E117">
            <v>118.91</v>
          </cell>
          <cell r="F117">
            <v>0.30499999999999999</v>
          </cell>
          <cell r="I117">
            <v>550</v>
          </cell>
          <cell r="K117">
            <v>0.5</v>
          </cell>
          <cell r="L117">
            <v>3.0000000000000001E-3</v>
          </cell>
          <cell r="BO117">
            <v>0.23</v>
          </cell>
        </row>
        <row r="118">
          <cell r="A118">
            <v>113</v>
          </cell>
          <cell r="B118" t="str">
            <v>X©y t­êng cong nghiªn vÆn vá ®ç&lt;= 33 VTH c¸t ®en  25 &gt;4m</v>
          </cell>
          <cell r="C118" t="str">
            <v>m3</v>
          </cell>
          <cell r="D118">
            <v>1</v>
          </cell>
          <cell r="E118">
            <v>35.090000000000003</v>
          </cell>
          <cell r="G118">
            <v>0.32800000000000001</v>
          </cell>
          <cell r="I118">
            <v>550</v>
          </cell>
          <cell r="J118">
            <v>26.92</v>
          </cell>
          <cell r="K118">
            <v>1.62</v>
          </cell>
          <cell r="L118">
            <v>0.01</v>
          </cell>
          <cell r="BO118">
            <v>0.46</v>
          </cell>
        </row>
        <row r="119">
          <cell r="A119">
            <v>114</v>
          </cell>
          <cell r="B119" t="str">
            <v>X©y t­êng cong nghiªn vÆn vá ®ç&lt;= 33 VTH c¸t ®en  50 &gt;4m</v>
          </cell>
          <cell r="C119" t="str">
            <v>m3</v>
          </cell>
          <cell r="D119">
            <v>1</v>
          </cell>
          <cell r="E119">
            <v>65.260000000000005</v>
          </cell>
          <cell r="G119">
            <v>0.31900000000000001</v>
          </cell>
          <cell r="I119">
            <v>550</v>
          </cell>
          <cell r="J119">
            <v>19.52</v>
          </cell>
          <cell r="K119">
            <v>1.62</v>
          </cell>
          <cell r="L119">
            <v>0.01</v>
          </cell>
          <cell r="BO119">
            <v>0.46</v>
          </cell>
        </row>
        <row r="120">
          <cell r="A120">
            <v>115</v>
          </cell>
          <cell r="B120" t="str">
            <v>X©y t­êng cong nghiªn vÆn vá ®ç&lt;= 33 VTH c¸t ®en  75 &gt;4m</v>
          </cell>
          <cell r="C120" t="str">
            <v>m3</v>
          </cell>
          <cell r="D120">
            <v>1</v>
          </cell>
          <cell r="E120">
            <v>92.58</v>
          </cell>
          <cell r="G120">
            <v>0.31</v>
          </cell>
          <cell r="I120">
            <v>550</v>
          </cell>
          <cell r="J120">
            <v>13.02</v>
          </cell>
          <cell r="K120">
            <v>1.62</v>
          </cell>
          <cell r="L120">
            <v>0.01</v>
          </cell>
          <cell r="BO120">
            <v>0.46</v>
          </cell>
        </row>
        <row r="121">
          <cell r="A121">
            <v>116</v>
          </cell>
          <cell r="B121" t="str">
            <v>X©y t­êng cong nghiªn vÆn vá ®ç&lt;= 33 XMC c¸t vµng  50 &gt;4m</v>
          </cell>
          <cell r="C121" t="str">
            <v>m3</v>
          </cell>
          <cell r="D121">
            <v>1</v>
          </cell>
          <cell r="E121">
            <v>66.709999999999994</v>
          </cell>
          <cell r="F121">
            <v>0.32500000000000001</v>
          </cell>
          <cell r="I121">
            <v>550</v>
          </cell>
          <cell r="K121">
            <v>1.62</v>
          </cell>
          <cell r="L121">
            <v>0.01</v>
          </cell>
          <cell r="BO121">
            <v>0.46</v>
          </cell>
        </row>
        <row r="122">
          <cell r="A122">
            <v>117</v>
          </cell>
          <cell r="B122" t="str">
            <v>X©y t­êng cong nghiªn vÆn vá ®ç&lt;= 33 XMC c¸t vµng  75 &gt;4m</v>
          </cell>
          <cell r="C122" t="str">
            <v>m3</v>
          </cell>
          <cell r="D122">
            <v>1</v>
          </cell>
          <cell r="E122">
            <v>92.81</v>
          </cell>
          <cell r="F122">
            <v>0.316</v>
          </cell>
          <cell r="I122">
            <v>550</v>
          </cell>
          <cell r="K122">
            <v>1.62</v>
          </cell>
          <cell r="L122">
            <v>0.01</v>
          </cell>
          <cell r="BO122">
            <v>0.46</v>
          </cell>
        </row>
        <row r="123">
          <cell r="A123">
            <v>118</v>
          </cell>
          <cell r="B123" t="str">
            <v>X©y t­êng cong nghiªn vÆn vá ®ç&lt;= 33VMC c¸t vµng100 &gt;4m</v>
          </cell>
          <cell r="C123" t="str">
            <v>m3</v>
          </cell>
          <cell r="D123">
            <v>1</v>
          </cell>
          <cell r="E123">
            <v>118.91</v>
          </cell>
          <cell r="F123">
            <v>0.30499999999999999</v>
          </cell>
          <cell r="I123">
            <v>550</v>
          </cell>
          <cell r="K123">
            <v>1.62</v>
          </cell>
          <cell r="L123">
            <v>0.01</v>
          </cell>
          <cell r="BO123">
            <v>0.46</v>
          </cell>
        </row>
        <row r="124">
          <cell r="A124">
            <v>119</v>
          </cell>
          <cell r="B124" t="str">
            <v>X©y t­êng cong nghiªn vÆn vá ®ç&gt; 33 VTH c¸t ®en  25 &lt;=4m</v>
          </cell>
          <cell r="C124" t="str">
            <v>m3</v>
          </cell>
          <cell r="D124">
            <v>1</v>
          </cell>
          <cell r="E124">
            <v>36.299999999999997</v>
          </cell>
          <cell r="G124">
            <v>0.33900000000000002</v>
          </cell>
          <cell r="I124">
            <v>539</v>
          </cell>
          <cell r="K124">
            <v>0.4</v>
          </cell>
          <cell r="L124">
            <v>2.3999999999999998E-3</v>
          </cell>
          <cell r="BO124">
            <v>0.2</v>
          </cell>
        </row>
        <row r="125">
          <cell r="A125">
            <v>120</v>
          </cell>
          <cell r="B125" t="str">
            <v>X©y t­êng cong nghiªn vÆn vá ®ç&gt; 33 VTH c¸t ®en  50 &lt;=4m</v>
          </cell>
          <cell r="C125" t="str">
            <v>m3</v>
          </cell>
          <cell r="D125">
            <v>1</v>
          </cell>
          <cell r="E125">
            <v>67.510000000000005</v>
          </cell>
          <cell r="G125">
            <v>0.33</v>
          </cell>
          <cell r="I125">
            <v>539</v>
          </cell>
          <cell r="K125">
            <v>0.4</v>
          </cell>
          <cell r="L125">
            <v>2.3999999999999998E-3</v>
          </cell>
          <cell r="BO125">
            <v>0.2</v>
          </cell>
        </row>
        <row r="126">
          <cell r="A126">
            <v>121</v>
          </cell>
          <cell r="B126" t="str">
            <v>X©y t­êng cong nghiªn vÆn vá ®ç&gt; 33 VTH c¸t ®en  75 &lt;=4m</v>
          </cell>
          <cell r="C126" t="str">
            <v>m3</v>
          </cell>
          <cell r="D126">
            <v>1</v>
          </cell>
          <cell r="E126">
            <v>95.78</v>
          </cell>
          <cell r="G126">
            <v>0.32100000000000001</v>
          </cell>
          <cell r="I126">
            <v>539</v>
          </cell>
          <cell r="K126">
            <v>0.4</v>
          </cell>
          <cell r="L126">
            <v>2.3999999999999998E-3</v>
          </cell>
          <cell r="BO126">
            <v>0.2</v>
          </cell>
        </row>
        <row r="127">
          <cell r="A127">
            <v>122</v>
          </cell>
          <cell r="B127" t="str">
            <v>X©y t­êng cong nghiªn vÆn vá ®ç&gt; 33 XMC c¸t vµng  50 &lt;=4m</v>
          </cell>
          <cell r="C127" t="str">
            <v>m3</v>
          </cell>
          <cell r="D127">
            <v>1</v>
          </cell>
          <cell r="F127">
            <v>69.010000000000005</v>
          </cell>
          <cell r="I127">
            <v>539</v>
          </cell>
          <cell r="K127">
            <v>0.4</v>
          </cell>
          <cell r="L127">
            <v>2.3999999999999998E-3</v>
          </cell>
          <cell r="BO127">
            <v>0.2</v>
          </cell>
        </row>
        <row r="128">
          <cell r="A128">
            <v>123</v>
          </cell>
          <cell r="B128" t="str">
            <v>X©y t­êng cong nghiªn vÆn vá ®ç&gt; 33 XMC c¸t vµng  75 &lt;=4m</v>
          </cell>
          <cell r="C128" t="str">
            <v>m3</v>
          </cell>
          <cell r="D128">
            <v>1</v>
          </cell>
          <cell r="F128">
            <v>96.01</v>
          </cell>
          <cell r="I128">
            <v>539</v>
          </cell>
          <cell r="K128">
            <v>0.4</v>
          </cell>
          <cell r="L128">
            <v>2.3999999999999998E-3</v>
          </cell>
          <cell r="BO128">
            <v>0.2</v>
          </cell>
        </row>
        <row r="129">
          <cell r="A129">
            <v>124</v>
          </cell>
          <cell r="B129" t="str">
            <v>X©y t­êng cong nghiªn vÆn vá ®ç&gt; 33VMC c¸t vµng100 &lt;=4m</v>
          </cell>
          <cell r="C129" t="str">
            <v>m3</v>
          </cell>
          <cell r="D129">
            <v>1</v>
          </cell>
          <cell r="F129">
            <v>123</v>
          </cell>
          <cell r="I129">
            <v>539</v>
          </cell>
          <cell r="K129">
            <v>0.4</v>
          </cell>
          <cell r="L129">
            <v>2.3999999999999998E-3</v>
          </cell>
          <cell r="BO129">
            <v>0.2</v>
          </cell>
        </row>
        <row r="130">
          <cell r="A130">
            <v>125</v>
          </cell>
          <cell r="B130" t="str">
            <v>X©y t­êng cong nghiªn vÆn vá ®ç&gt; 33 VTH c¸t ®en  25 &gt;4m</v>
          </cell>
          <cell r="C130" t="str">
            <v>m3</v>
          </cell>
          <cell r="D130">
            <v>1</v>
          </cell>
          <cell r="G130">
            <v>0.33900000000000002</v>
          </cell>
          <cell r="I130">
            <v>539</v>
          </cell>
          <cell r="K130">
            <v>1.1599999999999999</v>
          </cell>
          <cell r="L130">
            <v>8.0000000000000002E-3</v>
          </cell>
          <cell r="BO130">
            <v>0.35</v>
          </cell>
        </row>
        <row r="131">
          <cell r="A131">
            <v>126</v>
          </cell>
          <cell r="B131" t="str">
            <v>X©y t­êng cong nghiªn vÆn vá ®ç&gt; 33 VTH c¸t ®en  50 &gt;4m</v>
          </cell>
          <cell r="C131" t="str">
            <v>m3</v>
          </cell>
          <cell r="D131">
            <v>1</v>
          </cell>
          <cell r="G131">
            <v>0.33</v>
          </cell>
          <cell r="I131">
            <v>539</v>
          </cell>
          <cell r="K131">
            <v>1.1599999999999999</v>
          </cell>
          <cell r="L131">
            <v>8.0000000000000002E-3</v>
          </cell>
          <cell r="BO131">
            <v>0.35</v>
          </cell>
        </row>
        <row r="132">
          <cell r="A132">
            <v>127</v>
          </cell>
          <cell r="B132" t="str">
            <v>X©y t­êng cong nghiªn vÆn vá ®ç&gt; 33 VTH c¸t ®en  75 &gt;4m</v>
          </cell>
          <cell r="C132" t="str">
            <v>m3</v>
          </cell>
          <cell r="D132">
            <v>1</v>
          </cell>
          <cell r="G132">
            <v>0.32100000000000001</v>
          </cell>
          <cell r="I132">
            <v>539</v>
          </cell>
          <cell r="K132">
            <v>1.1599999999999999</v>
          </cell>
          <cell r="L132">
            <v>8.0000000000000002E-3</v>
          </cell>
          <cell r="BO132">
            <v>0.35</v>
          </cell>
        </row>
        <row r="133">
          <cell r="A133">
            <v>128</v>
          </cell>
          <cell r="B133" t="str">
            <v>X©y t­êng cong nghiªn vÆn vá ®ç&gt; 33 XMC c¸t vµng  50 &gt;4m</v>
          </cell>
          <cell r="C133" t="str">
            <v>m3</v>
          </cell>
          <cell r="D133">
            <v>1</v>
          </cell>
          <cell r="F133">
            <v>69.010000000000005</v>
          </cell>
          <cell r="I133">
            <v>539</v>
          </cell>
          <cell r="K133">
            <v>1.1599999999999999</v>
          </cell>
          <cell r="L133">
            <v>8.0000000000000002E-3</v>
          </cell>
          <cell r="BO133">
            <v>0.35</v>
          </cell>
          <cell r="BQ133">
            <v>1</v>
          </cell>
        </row>
        <row r="134">
          <cell r="A134">
            <v>129</v>
          </cell>
          <cell r="B134" t="str">
            <v>X©y t­êng cong nghiªn vÆn vá ®ç&gt; 33 XMC c¸t vµng  75 &gt;4m</v>
          </cell>
          <cell r="C134" t="str">
            <v>m3</v>
          </cell>
          <cell r="D134">
            <v>1</v>
          </cell>
          <cell r="F134">
            <v>96.01</v>
          </cell>
          <cell r="I134">
            <v>539</v>
          </cell>
          <cell r="K134">
            <v>1.1599999999999999</v>
          </cell>
          <cell r="L134">
            <v>8.0000000000000002E-3</v>
          </cell>
          <cell r="BO134">
            <v>0.35</v>
          </cell>
        </row>
        <row r="135">
          <cell r="A135">
            <v>130</v>
          </cell>
          <cell r="B135" t="str">
            <v>X©y t­êng cong nghiªn vÆn vá ®ç&gt; 33VMC c¸t vµng100 &gt;4m</v>
          </cell>
          <cell r="C135" t="str">
            <v>m3</v>
          </cell>
          <cell r="D135">
            <v>1</v>
          </cell>
          <cell r="F135">
            <v>123</v>
          </cell>
          <cell r="I135">
            <v>539</v>
          </cell>
          <cell r="K135">
            <v>1.1599999999999999</v>
          </cell>
          <cell r="L135">
            <v>8.0000000000000002E-3</v>
          </cell>
          <cell r="BO135">
            <v>0.35</v>
          </cell>
        </row>
        <row r="136">
          <cell r="A136">
            <v>131</v>
          </cell>
          <cell r="B136" t="str">
            <v>X©y cèng cuèn cong VTH c¸t ®en 50</v>
          </cell>
          <cell r="C136" t="str">
            <v>m3</v>
          </cell>
          <cell r="D136">
            <v>1</v>
          </cell>
          <cell r="E136">
            <v>63.01</v>
          </cell>
          <cell r="G136">
            <v>0.308</v>
          </cell>
          <cell r="H136" t="str">
            <v xml:space="preserve">  </v>
          </cell>
          <cell r="I136">
            <v>550</v>
          </cell>
          <cell r="J136">
            <v>18.850000000000001</v>
          </cell>
          <cell r="L136">
            <v>0.06</v>
          </cell>
          <cell r="M136">
            <v>0.55000000000000004</v>
          </cell>
          <cell r="Q136">
            <v>1.7</v>
          </cell>
        </row>
        <row r="137">
          <cell r="A137">
            <v>132</v>
          </cell>
          <cell r="B137" t="str">
            <v>X©y cèng cuèn cong VTH c¸t ®en 75</v>
          </cell>
          <cell r="C137" t="str">
            <v>m3</v>
          </cell>
          <cell r="D137">
            <v>1</v>
          </cell>
          <cell r="E137">
            <v>89.39</v>
          </cell>
          <cell r="G137">
            <v>0.3</v>
          </cell>
          <cell r="I137">
            <v>550</v>
          </cell>
          <cell r="J137">
            <v>12.567</v>
          </cell>
          <cell r="L137">
            <v>0.06</v>
          </cell>
          <cell r="M137">
            <v>0.55000000000000004</v>
          </cell>
          <cell r="Q137">
            <v>1.7</v>
          </cell>
        </row>
        <row r="138">
          <cell r="A138">
            <v>133</v>
          </cell>
          <cell r="B138" t="str">
            <v>X©y cèng cuèn cong XMC c¸t vµng 50</v>
          </cell>
          <cell r="C138" t="str">
            <v>m3</v>
          </cell>
          <cell r="D138">
            <v>1</v>
          </cell>
          <cell r="E138">
            <v>59.65</v>
          </cell>
          <cell r="F138">
            <v>0.32200000000000001</v>
          </cell>
          <cell r="I138">
            <v>550</v>
          </cell>
          <cell r="L138">
            <v>0.06</v>
          </cell>
          <cell r="M138">
            <v>0.55000000000000004</v>
          </cell>
          <cell r="Q138">
            <v>1.7</v>
          </cell>
        </row>
        <row r="139">
          <cell r="A139">
            <v>134</v>
          </cell>
          <cell r="B139" t="str">
            <v>X©y cèng cuèn cong XMC c¸t vµng 75</v>
          </cell>
          <cell r="C139" t="str">
            <v>m3</v>
          </cell>
          <cell r="D139">
            <v>1</v>
          </cell>
          <cell r="E139">
            <v>107.81</v>
          </cell>
          <cell r="F139">
            <v>0.314</v>
          </cell>
          <cell r="I139">
            <v>550</v>
          </cell>
          <cell r="L139">
            <v>0.06</v>
          </cell>
          <cell r="M139">
            <v>0.55000000000000004</v>
          </cell>
          <cell r="Q139">
            <v>1.7</v>
          </cell>
        </row>
        <row r="140">
          <cell r="A140">
            <v>135</v>
          </cell>
          <cell r="B140" t="str">
            <v>X©y cèng cuèn cong XMC c¸t vµng 100</v>
          </cell>
          <cell r="C140" t="str">
            <v>m3</v>
          </cell>
          <cell r="D140">
            <v>1</v>
          </cell>
          <cell r="E140">
            <v>129.37</v>
          </cell>
          <cell r="F140">
            <v>0.30499999999999999</v>
          </cell>
          <cell r="I140">
            <v>550</v>
          </cell>
          <cell r="L140">
            <v>0.06</v>
          </cell>
          <cell r="M140">
            <v>0.55000000000000004</v>
          </cell>
          <cell r="Q140">
            <v>1.7</v>
          </cell>
        </row>
        <row r="141">
          <cell r="A141">
            <v>136</v>
          </cell>
          <cell r="B141" t="str">
            <v>X©y cèng thµnh vßm cong VTH c¸t ®en 50</v>
          </cell>
          <cell r="C141" t="str">
            <v>m3</v>
          </cell>
          <cell r="D141">
            <v>1</v>
          </cell>
          <cell r="E141">
            <v>65.260000000000005</v>
          </cell>
          <cell r="G141">
            <v>65.260000000000005</v>
          </cell>
          <cell r="I141">
            <v>560</v>
          </cell>
          <cell r="J141">
            <v>19.52</v>
          </cell>
          <cell r="L141">
            <v>0.06</v>
          </cell>
          <cell r="M141">
            <v>0.55000000000000004</v>
          </cell>
          <cell r="Q141">
            <v>1.7</v>
          </cell>
        </row>
        <row r="142">
          <cell r="A142">
            <v>137</v>
          </cell>
          <cell r="B142" t="str">
            <v>X©y cèng thµnh vßm cong VTH c¸t ®en 75</v>
          </cell>
          <cell r="C142" t="str">
            <v>m3</v>
          </cell>
          <cell r="D142">
            <v>1</v>
          </cell>
          <cell r="E142">
            <v>92.58</v>
          </cell>
          <cell r="G142">
            <v>92.58</v>
          </cell>
          <cell r="I142">
            <v>560</v>
          </cell>
          <cell r="J142">
            <v>13.02</v>
          </cell>
          <cell r="L142">
            <v>0.06</v>
          </cell>
          <cell r="M142">
            <v>0.55000000000000004</v>
          </cell>
          <cell r="Q142">
            <v>1.7</v>
          </cell>
        </row>
        <row r="143">
          <cell r="A143">
            <v>138</v>
          </cell>
          <cell r="B143" t="str">
            <v>X©y cèng thµnh vßm cong XMC c¸t vµng 50</v>
          </cell>
          <cell r="C143" t="str">
            <v>m3</v>
          </cell>
          <cell r="D143">
            <v>1</v>
          </cell>
          <cell r="E143">
            <v>66.78</v>
          </cell>
          <cell r="F143">
            <v>0.32500000000000001</v>
          </cell>
          <cell r="I143">
            <v>560</v>
          </cell>
          <cell r="L143">
            <v>0.06</v>
          </cell>
          <cell r="M143">
            <v>0.55000000000000004</v>
          </cell>
          <cell r="Q143">
            <v>1.7</v>
          </cell>
        </row>
        <row r="144">
          <cell r="A144">
            <v>139</v>
          </cell>
          <cell r="B144" t="str">
            <v>X©y cèng thµnh vßm cong XMC c¸t vµng 75</v>
          </cell>
          <cell r="C144" t="str">
            <v>m3</v>
          </cell>
          <cell r="D144">
            <v>1</v>
          </cell>
          <cell r="E144">
            <v>92.81</v>
          </cell>
          <cell r="F144">
            <v>0.316</v>
          </cell>
          <cell r="I144">
            <v>560</v>
          </cell>
          <cell r="L144">
            <v>0.06</v>
          </cell>
          <cell r="M144">
            <v>0.55000000000000004</v>
          </cell>
          <cell r="Q144">
            <v>1.7</v>
          </cell>
        </row>
        <row r="145">
          <cell r="A145">
            <v>140</v>
          </cell>
          <cell r="B145" t="str">
            <v>X©y cèng thµnh vßm cong XMC c¸t vµng 100</v>
          </cell>
          <cell r="C145" t="str">
            <v>m3</v>
          </cell>
          <cell r="D145">
            <v>1</v>
          </cell>
          <cell r="E145">
            <v>118.91</v>
          </cell>
          <cell r="F145">
            <v>0.30499999999999999</v>
          </cell>
          <cell r="I145">
            <v>560</v>
          </cell>
          <cell r="L145">
            <v>0.06</v>
          </cell>
          <cell r="M145">
            <v>0.55000000000000004</v>
          </cell>
          <cell r="Q145">
            <v>1.7</v>
          </cell>
        </row>
        <row r="146">
          <cell r="A146">
            <v>141</v>
          </cell>
          <cell r="B146" t="str">
            <v>X©y kÕt cÊu phøc t¹p kh¸c VTH50 c¸t ®en &lt;=4 m</v>
          </cell>
          <cell r="C146" t="str">
            <v>m3</v>
          </cell>
          <cell r="D146">
            <v>1</v>
          </cell>
          <cell r="E146">
            <v>63.01</v>
          </cell>
          <cell r="G146">
            <v>0.308</v>
          </cell>
          <cell r="I146">
            <v>573</v>
          </cell>
          <cell r="J146">
            <v>18.850000000000001</v>
          </cell>
          <cell r="L146">
            <v>4.0000000000000001E-3</v>
          </cell>
          <cell r="M146">
            <v>0.05</v>
          </cell>
        </row>
        <row r="147">
          <cell r="A147">
            <v>142</v>
          </cell>
          <cell r="B147" t="str">
            <v>X©y kÕt cÊu phøc t¹p kh¸c VTH75 c¸t ®en &lt;=4 m</v>
          </cell>
          <cell r="C147" t="str">
            <v>m3</v>
          </cell>
          <cell r="D147">
            <v>1</v>
          </cell>
          <cell r="E147">
            <v>89.39</v>
          </cell>
          <cell r="G147">
            <v>0.3</v>
          </cell>
          <cell r="I147">
            <v>573</v>
          </cell>
          <cell r="J147">
            <v>12.567</v>
          </cell>
          <cell r="L147">
            <v>4.0000000000000001E-3</v>
          </cell>
          <cell r="M147">
            <v>0.05</v>
          </cell>
        </row>
        <row r="148">
          <cell r="A148">
            <v>143</v>
          </cell>
          <cell r="B148" t="str">
            <v>X©y kÕt cÊu phøc t¹p kh¸c XM50 c¸t vµng &lt;=4 m</v>
          </cell>
          <cell r="C148" t="str">
            <v>m3</v>
          </cell>
          <cell r="D148">
            <v>1</v>
          </cell>
          <cell r="E148">
            <v>59.65</v>
          </cell>
          <cell r="F148">
            <v>0.32200000000000001</v>
          </cell>
          <cell r="I148">
            <v>573</v>
          </cell>
          <cell r="L148">
            <v>4.0000000000000001E-3</v>
          </cell>
          <cell r="M148">
            <v>0.05</v>
          </cell>
        </row>
        <row r="149">
          <cell r="A149">
            <v>144</v>
          </cell>
          <cell r="B149" t="str">
            <v>X©y kÕt cÊu phøc t¹p kh¸c XM75 c¸t vµng &lt;=4 m</v>
          </cell>
          <cell r="C149" t="str">
            <v>m3</v>
          </cell>
          <cell r="D149">
            <v>1</v>
          </cell>
          <cell r="E149">
            <v>107.81</v>
          </cell>
          <cell r="F149">
            <v>0.314</v>
          </cell>
          <cell r="I149">
            <v>573</v>
          </cell>
          <cell r="L149">
            <v>4.0000000000000001E-3</v>
          </cell>
          <cell r="M149">
            <v>0.05</v>
          </cell>
        </row>
        <row r="150">
          <cell r="A150">
            <v>145</v>
          </cell>
          <cell r="B150" t="str">
            <v>X©y kÕt cÊu phøc t¹p kh¸c XM100 c¸t vµng &lt;=4 m</v>
          </cell>
          <cell r="C150" t="str">
            <v>m3</v>
          </cell>
          <cell r="D150">
            <v>1</v>
          </cell>
          <cell r="E150">
            <v>129.37</v>
          </cell>
          <cell r="F150">
            <v>0.30499999999999999</v>
          </cell>
          <cell r="I150">
            <v>573</v>
          </cell>
          <cell r="L150">
            <v>4.0000000000000001E-3</v>
          </cell>
          <cell r="M150">
            <v>0.05</v>
          </cell>
        </row>
        <row r="151">
          <cell r="A151">
            <v>146</v>
          </cell>
          <cell r="B151" t="str">
            <v>X©y kÕt cÊu phøc t¹p kh¸c VTH50 c¸t ®en &gt;4 m</v>
          </cell>
          <cell r="C151" t="str">
            <v>m3</v>
          </cell>
          <cell r="D151">
            <v>1</v>
          </cell>
          <cell r="E151">
            <v>63.01</v>
          </cell>
          <cell r="G151">
            <v>0.308</v>
          </cell>
          <cell r="I151">
            <v>573</v>
          </cell>
          <cell r="J151">
            <v>18.850000000000001</v>
          </cell>
          <cell r="L151">
            <v>1.4999999999999999E-2</v>
          </cell>
          <cell r="M151">
            <v>0.1</v>
          </cell>
        </row>
        <row r="152">
          <cell r="A152">
            <v>147</v>
          </cell>
          <cell r="B152" t="str">
            <v>X©y kÕt cÊu phøc t¹p kh¸c VTH75 c¸t ®en &gt;4 m</v>
          </cell>
          <cell r="C152" t="str">
            <v>m3</v>
          </cell>
          <cell r="D152">
            <v>1</v>
          </cell>
          <cell r="E152">
            <v>89.39</v>
          </cell>
          <cell r="G152">
            <v>0.3</v>
          </cell>
          <cell r="I152">
            <v>573</v>
          </cell>
          <cell r="J152">
            <v>12.567</v>
          </cell>
          <cell r="L152">
            <v>1.4999999999999999E-2</v>
          </cell>
          <cell r="M152">
            <v>0.1</v>
          </cell>
        </row>
        <row r="153">
          <cell r="A153">
            <v>148</v>
          </cell>
          <cell r="B153" t="str">
            <v>X©y kÕt cÊu phøc t¹p kh¸c XM50 c¸t vµng &gt;4 m</v>
          </cell>
          <cell r="C153" t="str">
            <v>m3</v>
          </cell>
          <cell r="D153">
            <v>1</v>
          </cell>
          <cell r="E153">
            <v>59.65</v>
          </cell>
          <cell r="F153">
            <v>0.32200000000000001</v>
          </cell>
          <cell r="I153">
            <v>573</v>
          </cell>
          <cell r="L153">
            <v>1.4999999999999999E-2</v>
          </cell>
          <cell r="M153">
            <v>0.1</v>
          </cell>
        </row>
        <row r="154">
          <cell r="A154">
            <v>149</v>
          </cell>
          <cell r="B154" t="str">
            <v>X©y kÕt cÊu phøc t¹p kh¸c XM75 c¸t vµng &gt;4 m</v>
          </cell>
          <cell r="C154" t="str">
            <v>m3</v>
          </cell>
          <cell r="D154">
            <v>1</v>
          </cell>
          <cell r="E154">
            <v>107.81</v>
          </cell>
          <cell r="F154">
            <v>0.314</v>
          </cell>
          <cell r="I154">
            <v>573</v>
          </cell>
          <cell r="L154">
            <v>1.4999999999999999E-2</v>
          </cell>
          <cell r="M154">
            <v>0.1</v>
          </cell>
        </row>
        <row r="155">
          <cell r="A155">
            <v>150</v>
          </cell>
          <cell r="B155" t="str">
            <v>X©y kÕt cÊu phøc t¹p kh¸c XM100 c¸t vµng &gt;4 m</v>
          </cell>
          <cell r="C155" t="str">
            <v>m3</v>
          </cell>
          <cell r="D155">
            <v>1</v>
          </cell>
          <cell r="E155">
            <v>129.37</v>
          </cell>
          <cell r="F155">
            <v>0.30499999999999999</v>
          </cell>
          <cell r="I155">
            <v>573</v>
          </cell>
          <cell r="L155">
            <v>1.4999999999999999E-2</v>
          </cell>
          <cell r="M155">
            <v>0.1</v>
          </cell>
        </row>
        <row r="156">
          <cell r="A156">
            <v>151</v>
          </cell>
          <cell r="B156" t="str">
            <v>Bª t«ng lãt mãng R&lt;=2,5m ®¸ 2x 4M100</v>
          </cell>
          <cell r="C156" t="str">
            <v>m3</v>
          </cell>
          <cell r="D156">
            <v>1</v>
          </cell>
          <cell r="E156">
            <v>212.18</v>
          </cell>
          <cell r="F156">
            <v>0.51500000000000001</v>
          </cell>
          <cell r="O156">
            <v>0.92</v>
          </cell>
        </row>
        <row r="157">
          <cell r="A157">
            <v>152</v>
          </cell>
          <cell r="B157" t="str">
            <v>Bª t«ng lãt mãng R&lt;=2,5m ®¸ 2x 4M150</v>
          </cell>
          <cell r="C157" t="str">
            <v>m3</v>
          </cell>
          <cell r="D157">
            <v>1</v>
          </cell>
          <cell r="E157">
            <v>272.64999999999998</v>
          </cell>
          <cell r="F157">
            <v>0.49399999999999999</v>
          </cell>
          <cell r="O157">
            <v>0.90600000000000003</v>
          </cell>
        </row>
        <row r="158">
          <cell r="A158">
            <v>153</v>
          </cell>
          <cell r="B158" t="str">
            <v>Bª t«ng lãt mãng R&gt;2,5m ®¸ 2x 4M100</v>
          </cell>
          <cell r="C158" t="str">
            <v>m3</v>
          </cell>
          <cell r="D158">
            <v>1</v>
          </cell>
          <cell r="E158">
            <v>212.18</v>
          </cell>
          <cell r="F158">
            <v>0.51500000000000001</v>
          </cell>
          <cell r="O158">
            <v>0.92</v>
          </cell>
        </row>
        <row r="159">
          <cell r="A159">
            <v>154</v>
          </cell>
          <cell r="B159" t="str">
            <v>Bª t«ng lãt mãng R&gt;2,5m ®¸ 2x 4M150</v>
          </cell>
          <cell r="C159" t="str">
            <v>m3</v>
          </cell>
          <cell r="D159">
            <v>1</v>
          </cell>
          <cell r="E159">
            <v>272.64999999999998</v>
          </cell>
          <cell r="F159">
            <v>0.49399999999999999</v>
          </cell>
          <cell r="O159">
            <v>0.90600000000000003</v>
          </cell>
        </row>
        <row r="160">
          <cell r="A160">
            <v>155</v>
          </cell>
          <cell r="B160" t="str">
            <v>Bª t«ng mãng  R&lt;=2,5m ®¸ 2x4 M150</v>
          </cell>
          <cell r="C160" t="str">
            <v>m3</v>
          </cell>
          <cell r="D160">
            <v>1</v>
          </cell>
          <cell r="E160">
            <v>272.64999999999998</v>
          </cell>
          <cell r="F160">
            <v>0.49399999999999999</v>
          </cell>
          <cell r="O160">
            <v>0.90600000000000003</v>
          </cell>
          <cell r="BQ160">
            <v>1</v>
          </cell>
        </row>
        <row r="161">
          <cell r="A161">
            <v>156</v>
          </cell>
          <cell r="B161" t="str">
            <v>Bª t«ng mãng  R&lt;=2,5m ®¸ 2x4 M200</v>
          </cell>
          <cell r="C161" t="str">
            <v>m3</v>
          </cell>
          <cell r="D161">
            <v>1</v>
          </cell>
          <cell r="E161">
            <v>331.08</v>
          </cell>
          <cell r="F161">
            <v>0.46899999999999997</v>
          </cell>
          <cell r="O161">
            <v>0.89600000000000002</v>
          </cell>
          <cell r="BQ161">
            <v>1</v>
          </cell>
        </row>
        <row r="162">
          <cell r="A162">
            <v>157</v>
          </cell>
          <cell r="B162" t="str">
            <v>Bª t«ng mãng  R&lt;=2,5m ®¸ 2x4 M250</v>
          </cell>
          <cell r="C162" t="str">
            <v>m3</v>
          </cell>
          <cell r="D162">
            <v>1</v>
          </cell>
          <cell r="E162">
            <v>384</v>
          </cell>
          <cell r="F162">
            <v>0.45100000000000001</v>
          </cell>
          <cell r="O162">
            <v>0.879</v>
          </cell>
          <cell r="BQ162">
            <v>1</v>
          </cell>
        </row>
        <row r="163">
          <cell r="A163">
            <v>158</v>
          </cell>
          <cell r="B163" t="str">
            <v>Bª t«ng mãng  R&lt;=2,5m ®¸ 1x2 M150</v>
          </cell>
          <cell r="C163" t="str">
            <v>m3</v>
          </cell>
          <cell r="D163">
            <v>1</v>
          </cell>
          <cell r="E163">
            <v>288.02999999999997</v>
          </cell>
          <cell r="F163">
            <v>0.49</v>
          </cell>
          <cell r="P163">
            <v>0.90400000000000003</v>
          </cell>
          <cell r="BQ163">
            <v>1</v>
          </cell>
        </row>
        <row r="164">
          <cell r="A164">
            <v>159</v>
          </cell>
          <cell r="B164" t="str">
            <v>Bª t«ng mãng  R&lt;=2,5m ®¸ 1x2 M200</v>
          </cell>
          <cell r="C164" t="str">
            <v>m3</v>
          </cell>
          <cell r="D164">
            <v>1</v>
          </cell>
          <cell r="E164">
            <v>350.55</v>
          </cell>
          <cell r="F164">
            <v>0.46600000000000003</v>
          </cell>
          <cell r="P164">
            <v>0.88900000000000001</v>
          </cell>
          <cell r="BQ164">
            <v>1</v>
          </cell>
        </row>
        <row r="165">
          <cell r="A165">
            <v>160</v>
          </cell>
          <cell r="B165" t="str">
            <v>Bª t«ng mãng  R&lt;=2,5m ®¸ 1x2 M250</v>
          </cell>
          <cell r="C165" t="str">
            <v>m3</v>
          </cell>
          <cell r="D165">
            <v>1</v>
          </cell>
          <cell r="E165">
            <v>415.13</v>
          </cell>
          <cell r="F165">
            <v>0.438</v>
          </cell>
          <cell r="P165">
            <v>0.879</v>
          </cell>
          <cell r="BQ165">
            <v>1</v>
          </cell>
        </row>
        <row r="166">
          <cell r="A166">
            <v>161</v>
          </cell>
          <cell r="B166" t="str">
            <v>Bª t«ng mãng R&gt;2,5m ®¸ 2x4 M150</v>
          </cell>
          <cell r="C166" t="str">
            <v>m3</v>
          </cell>
          <cell r="D166">
            <v>1</v>
          </cell>
          <cell r="E166">
            <v>272.64999999999998</v>
          </cell>
          <cell r="F166">
            <v>0.49399999999999999</v>
          </cell>
          <cell r="L166">
            <v>1.4999999999999999E-2</v>
          </cell>
          <cell r="M166">
            <v>0.122</v>
          </cell>
          <cell r="O166">
            <v>0.90600000000000003</v>
          </cell>
          <cell r="Q166">
            <v>0.60299999999999998</v>
          </cell>
          <cell r="BQ166">
            <v>1</v>
          </cell>
        </row>
        <row r="167">
          <cell r="A167">
            <v>162</v>
          </cell>
          <cell r="B167" t="str">
            <v>Bª t«ng mãng R&gt;2,5m ®¸ 2x4 M200</v>
          </cell>
          <cell r="C167" t="str">
            <v>m3</v>
          </cell>
          <cell r="D167">
            <v>1</v>
          </cell>
          <cell r="E167">
            <v>331.08</v>
          </cell>
          <cell r="F167">
            <v>0.46899999999999997</v>
          </cell>
          <cell r="L167">
            <v>1.4999999999999999E-2</v>
          </cell>
          <cell r="M167">
            <v>0.122</v>
          </cell>
          <cell r="O167">
            <v>0.89600000000000002</v>
          </cell>
          <cell r="Q167">
            <v>0.60299999999999998</v>
          </cell>
          <cell r="BQ167">
            <v>1</v>
          </cell>
        </row>
        <row r="168">
          <cell r="A168">
            <v>163</v>
          </cell>
          <cell r="B168" t="str">
            <v>Bª t«ng mãng R&gt;2,5m ®¸ 2x4 M250</v>
          </cell>
          <cell r="C168" t="str">
            <v>m3</v>
          </cell>
          <cell r="D168">
            <v>1</v>
          </cell>
          <cell r="E168">
            <v>384</v>
          </cell>
          <cell r="F168">
            <v>0.45100000000000001</v>
          </cell>
          <cell r="L168">
            <v>1.4999999999999999E-2</v>
          </cell>
          <cell r="M168">
            <v>0.122</v>
          </cell>
          <cell r="O168">
            <v>0.879</v>
          </cell>
          <cell r="Q168">
            <v>0.60299999999999998</v>
          </cell>
          <cell r="BQ168">
            <v>1</v>
          </cell>
        </row>
        <row r="169">
          <cell r="A169">
            <v>164</v>
          </cell>
          <cell r="B169" t="str">
            <v>Bª t«ng mãng R&gt;2,5m ®¸ 1x2 M150</v>
          </cell>
          <cell r="C169" t="str">
            <v>m3</v>
          </cell>
          <cell r="D169">
            <v>1</v>
          </cell>
          <cell r="E169">
            <v>288.02999999999997</v>
          </cell>
          <cell r="F169">
            <v>0.49</v>
          </cell>
          <cell r="L169">
            <v>1.4999999999999999E-2</v>
          </cell>
          <cell r="M169">
            <v>0.122</v>
          </cell>
          <cell r="P169">
            <v>0.90400000000000003</v>
          </cell>
          <cell r="Q169">
            <v>0.60299999999999998</v>
          </cell>
          <cell r="BQ169">
            <v>1</v>
          </cell>
        </row>
        <row r="170">
          <cell r="A170">
            <v>165</v>
          </cell>
          <cell r="B170" t="str">
            <v>Bª t«ng mãng R&gt;2,5m ®¸ 1x2 M200</v>
          </cell>
          <cell r="C170" t="str">
            <v>m3</v>
          </cell>
          <cell r="D170">
            <v>1</v>
          </cell>
          <cell r="E170">
            <v>350.55</v>
          </cell>
          <cell r="F170">
            <v>0.46600000000000003</v>
          </cell>
          <cell r="L170">
            <v>1.4999999999999999E-2</v>
          </cell>
          <cell r="M170">
            <v>0.122</v>
          </cell>
          <cell r="P170">
            <v>0.88900000000000001</v>
          </cell>
          <cell r="Q170">
            <v>0.60299999999999998</v>
          </cell>
          <cell r="BQ170">
            <v>1</v>
          </cell>
        </row>
        <row r="171">
          <cell r="A171">
            <v>166</v>
          </cell>
          <cell r="B171" t="str">
            <v>Bª t«ng mãng R&gt;2,5m ®¸ 1x2 M250</v>
          </cell>
          <cell r="C171" t="str">
            <v>m3</v>
          </cell>
          <cell r="D171">
            <v>1</v>
          </cell>
          <cell r="E171">
            <v>415.13</v>
          </cell>
          <cell r="F171">
            <v>0.438</v>
          </cell>
          <cell r="L171">
            <v>1.4999999999999999E-2</v>
          </cell>
          <cell r="M171">
            <v>0.122</v>
          </cell>
          <cell r="P171">
            <v>0.879</v>
          </cell>
          <cell r="Q171">
            <v>0.60299999999999998</v>
          </cell>
          <cell r="BQ171">
            <v>1</v>
          </cell>
        </row>
        <row r="172">
          <cell r="A172">
            <v>167</v>
          </cell>
          <cell r="B172" t="str">
            <v>Bª t«ng nÒn ®¸ 1x2 M150</v>
          </cell>
          <cell r="C172" t="str">
            <v>m3</v>
          </cell>
          <cell r="D172">
            <v>1</v>
          </cell>
          <cell r="E172">
            <v>288.02999999999997</v>
          </cell>
          <cell r="F172">
            <v>0.49</v>
          </cell>
          <cell r="P172">
            <v>0.90400000000000003</v>
          </cell>
          <cell r="BQ172">
            <v>1</v>
          </cell>
        </row>
        <row r="173">
          <cell r="A173">
            <v>168</v>
          </cell>
          <cell r="B173" t="str">
            <v>Bª t«ng nÒn ®¸ 1x2 M200</v>
          </cell>
          <cell r="C173" t="str">
            <v>m3</v>
          </cell>
          <cell r="D173">
            <v>1</v>
          </cell>
          <cell r="E173">
            <v>350.55</v>
          </cell>
          <cell r="F173">
            <v>0.46600000000000003</v>
          </cell>
          <cell r="P173">
            <v>0.88900000000000001</v>
          </cell>
          <cell r="BQ173">
            <v>1</v>
          </cell>
        </row>
        <row r="174">
          <cell r="A174">
            <v>169</v>
          </cell>
          <cell r="B174" t="str">
            <v>Bª t«ng nÒn ®¸ 1x2 M250</v>
          </cell>
          <cell r="C174" t="str">
            <v>m3</v>
          </cell>
          <cell r="D174">
            <v>1</v>
          </cell>
          <cell r="E174">
            <v>415.13</v>
          </cell>
          <cell r="F174">
            <v>0.438</v>
          </cell>
          <cell r="P174">
            <v>0.879</v>
          </cell>
          <cell r="BQ174">
            <v>1</v>
          </cell>
        </row>
        <row r="175">
          <cell r="A175">
            <v>170</v>
          </cell>
          <cell r="B175" t="str">
            <v>Bª t«ng nÒn ®¸ 1x2 M300</v>
          </cell>
          <cell r="C175" t="str">
            <v>m3</v>
          </cell>
          <cell r="D175">
            <v>1</v>
          </cell>
          <cell r="E175">
            <v>437.68</v>
          </cell>
          <cell r="F175">
            <v>0.45200000000000001</v>
          </cell>
          <cell r="P175">
            <v>0.88300000000000001</v>
          </cell>
          <cell r="BQ175">
            <v>1</v>
          </cell>
        </row>
        <row r="176">
          <cell r="A176">
            <v>171</v>
          </cell>
          <cell r="B176" t="str">
            <v>Bª t«ng nÒn ®¸ 2x4 M150</v>
          </cell>
          <cell r="C176" t="str">
            <v>m3</v>
          </cell>
          <cell r="D176">
            <v>1</v>
          </cell>
          <cell r="E176">
            <v>272.64999999999998</v>
          </cell>
          <cell r="F176">
            <v>0.49399999999999999</v>
          </cell>
          <cell r="O176">
            <v>0.90600000000000003</v>
          </cell>
          <cell r="BQ176">
            <v>1</v>
          </cell>
        </row>
        <row r="177">
          <cell r="A177">
            <v>172</v>
          </cell>
          <cell r="B177" t="str">
            <v>Bª t«ng nÒn ®¸ 2x4 M200</v>
          </cell>
          <cell r="C177" t="str">
            <v>m3</v>
          </cell>
          <cell r="D177">
            <v>1</v>
          </cell>
          <cell r="E177">
            <v>331.08</v>
          </cell>
          <cell r="F177">
            <v>0.46899999999999997</v>
          </cell>
          <cell r="O177">
            <v>0.89600000000000002</v>
          </cell>
          <cell r="BQ177">
            <v>1</v>
          </cell>
        </row>
        <row r="178">
          <cell r="A178">
            <v>173</v>
          </cell>
          <cell r="B178" t="str">
            <v>Bª t«ng nÒn ®¸ 2x4 M250</v>
          </cell>
          <cell r="C178" t="str">
            <v>m3</v>
          </cell>
          <cell r="D178">
            <v>1</v>
          </cell>
          <cell r="E178">
            <v>384</v>
          </cell>
          <cell r="F178">
            <v>0.45100000000000001</v>
          </cell>
          <cell r="O178">
            <v>0.879</v>
          </cell>
          <cell r="BQ178">
            <v>1</v>
          </cell>
        </row>
        <row r="179">
          <cell r="A179">
            <v>174</v>
          </cell>
          <cell r="B179" t="str">
            <v>Bª t«ng nÒn ®¸ 2x4 M300</v>
          </cell>
          <cell r="C179" t="str">
            <v>m3</v>
          </cell>
          <cell r="D179">
            <v>1</v>
          </cell>
          <cell r="E179">
            <v>466.38</v>
          </cell>
          <cell r="F179">
            <v>0.41099999999999998</v>
          </cell>
          <cell r="O179">
            <v>0.879</v>
          </cell>
          <cell r="BQ179">
            <v>1</v>
          </cell>
        </row>
        <row r="180">
          <cell r="A180">
            <v>175</v>
          </cell>
          <cell r="B180" t="str">
            <v>Bª t«ng bÖ m¸y ®¸ 1x2 M150</v>
          </cell>
          <cell r="C180" t="str">
            <v>m3</v>
          </cell>
          <cell r="D180">
            <v>1</v>
          </cell>
          <cell r="E180">
            <v>288.02999999999997</v>
          </cell>
          <cell r="F180">
            <v>0.49</v>
          </cell>
          <cell r="P180">
            <v>0.90400000000000003</v>
          </cell>
          <cell r="BQ180">
            <v>1</v>
          </cell>
        </row>
        <row r="181">
          <cell r="A181">
            <v>176</v>
          </cell>
          <cell r="B181" t="str">
            <v>Bª t«ng bÖ m¸y ®¸ 1x2 M200</v>
          </cell>
          <cell r="C181" t="str">
            <v>m3</v>
          </cell>
          <cell r="D181">
            <v>1</v>
          </cell>
          <cell r="E181">
            <v>350.55</v>
          </cell>
          <cell r="F181">
            <v>0.46600000000000003</v>
          </cell>
          <cell r="P181">
            <v>0.88900000000000001</v>
          </cell>
          <cell r="BQ181">
            <v>1</v>
          </cell>
        </row>
        <row r="182">
          <cell r="A182">
            <v>177</v>
          </cell>
          <cell r="B182" t="str">
            <v>Bª t«ng bÖ m¸y ®¸ 1x2 M250</v>
          </cell>
          <cell r="C182" t="str">
            <v>m3</v>
          </cell>
          <cell r="D182">
            <v>1</v>
          </cell>
          <cell r="E182">
            <v>415.13</v>
          </cell>
          <cell r="F182">
            <v>0.438</v>
          </cell>
          <cell r="P182">
            <v>0.879</v>
          </cell>
          <cell r="BQ182">
            <v>1</v>
          </cell>
        </row>
        <row r="183">
          <cell r="A183">
            <v>178</v>
          </cell>
          <cell r="B183" t="str">
            <v>Bª t«ng bÖ m¸y ®¸ 1x2 M300</v>
          </cell>
          <cell r="C183" t="str">
            <v>m3</v>
          </cell>
          <cell r="D183">
            <v>1</v>
          </cell>
          <cell r="E183">
            <v>437.68</v>
          </cell>
          <cell r="F183">
            <v>0.45200000000000001</v>
          </cell>
          <cell r="P183">
            <v>0.88300000000000001</v>
          </cell>
          <cell r="BQ183">
            <v>1</v>
          </cell>
        </row>
        <row r="184">
          <cell r="A184">
            <v>179</v>
          </cell>
          <cell r="B184" t="str">
            <v>Bª t«ng bÖ m¸y ®¸ 2x4 M150</v>
          </cell>
          <cell r="C184" t="str">
            <v>m3</v>
          </cell>
          <cell r="D184">
            <v>1</v>
          </cell>
          <cell r="E184">
            <v>272.64999999999998</v>
          </cell>
          <cell r="F184">
            <v>0.49399999999999999</v>
          </cell>
          <cell r="O184">
            <v>0.90600000000000003</v>
          </cell>
          <cell r="BQ184">
            <v>1</v>
          </cell>
        </row>
        <row r="185">
          <cell r="A185">
            <v>180</v>
          </cell>
          <cell r="B185" t="str">
            <v>Bª t«ng bÖ m¸y ®¸ 2x4 M200</v>
          </cell>
          <cell r="C185" t="str">
            <v>m3</v>
          </cell>
          <cell r="D185">
            <v>1</v>
          </cell>
          <cell r="E185">
            <v>331.08</v>
          </cell>
          <cell r="F185">
            <v>0.46899999999999997</v>
          </cell>
          <cell r="O185">
            <v>0.89600000000000002</v>
          </cell>
          <cell r="BQ185">
            <v>1</v>
          </cell>
        </row>
        <row r="186">
          <cell r="A186">
            <v>181</v>
          </cell>
          <cell r="B186" t="str">
            <v>Bª t«ng bÖ m¸y ®¸ 2x4 M250</v>
          </cell>
          <cell r="C186" t="str">
            <v>m3</v>
          </cell>
          <cell r="D186">
            <v>1</v>
          </cell>
          <cell r="E186">
            <v>384</v>
          </cell>
          <cell r="F186">
            <v>0.45100000000000001</v>
          </cell>
          <cell r="O186">
            <v>0.879</v>
          </cell>
          <cell r="BQ186">
            <v>1</v>
          </cell>
        </row>
        <row r="187">
          <cell r="A187">
            <v>182</v>
          </cell>
          <cell r="B187" t="str">
            <v>Bª t«ng bÖ m¸y ®¸ 2x4 M300</v>
          </cell>
          <cell r="C187" t="str">
            <v>m3</v>
          </cell>
          <cell r="D187">
            <v>1</v>
          </cell>
          <cell r="E187">
            <v>466.38</v>
          </cell>
          <cell r="F187">
            <v>0.41099999999999998</v>
          </cell>
          <cell r="O187">
            <v>0.879</v>
          </cell>
          <cell r="BQ187">
            <v>1</v>
          </cell>
        </row>
        <row r="188">
          <cell r="A188">
            <v>183</v>
          </cell>
          <cell r="B188" t="str">
            <v>Bª t«ng t­êng &lt;=45cm cao&lt;=4m hoÆc &gt;4m ®¸ 1x2 M150</v>
          </cell>
          <cell r="C188" t="str">
            <v>m3</v>
          </cell>
          <cell r="D188">
            <v>1</v>
          </cell>
          <cell r="E188">
            <v>288.02999999999997</v>
          </cell>
          <cell r="F188">
            <v>0.49</v>
          </cell>
          <cell r="L188">
            <v>4.9000000000000002E-2</v>
          </cell>
          <cell r="M188">
            <v>0.19900000000000001</v>
          </cell>
          <cell r="P188">
            <v>0.90400000000000003</v>
          </cell>
          <cell r="Q188">
            <v>0.871</v>
          </cell>
          <cell r="BQ188">
            <v>2</v>
          </cell>
        </row>
        <row r="189">
          <cell r="A189">
            <v>184</v>
          </cell>
          <cell r="B189" t="str">
            <v>Bª t«ng t­êng &lt;=45cm cao&lt;=4m hoÆc &gt;4m ®¸ 1x2 M200</v>
          </cell>
          <cell r="C189" t="str">
            <v>m3</v>
          </cell>
          <cell r="D189">
            <v>1</v>
          </cell>
          <cell r="E189">
            <v>350.55</v>
          </cell>
          <cell r="F189">
            <v>0.46600000000000003</v>
          </cell>
          <cell r="L189">
            <v>4.9000000000000002E-2</v>
          </cell>
          <cell r="M189">
            <v>0.19900000000000001</v>
          </cell>
          <cell r="P189">
            <v>0.88900000000000001</v>
          </cell>
          <cell r="Q189">
            <v>0.871</v>
          </cell>
          <cell r="BQ189">
            <v>2</v>
          </cell>
        </row>
        <row r="190">
          <cell r="A190">
            <v>185</v>
          </cell>
          <cell r="B190" t="str">
            <v>Bª t«ng t­êng &lt;=45cm cao&lt;=4m hoÆc &gt;4m ®¸ 1x2 M250</v>
          </cell>
          <cell r="C190" t="str">
            <v>m3</v>
          </cell>
          <cell r="D190">
            <v>1</v>
          </cell>
          <cell r="E190">
            <v>415.13</v>
          </cell>
          <cell r="F190">
            <v>0.438</v>
          </cell>
          <cell r="L190">
            <v>4.9000000000000002E-2</v>
          </cell>
          <cell r="M190">
            <v>0.19900000000000001</v>
          </cell>
          <cell r="P190">
            <v>0.879</v>
          </cell>
          <cell r="Q190">
            <v>0.871</v>
          </cell>
          <cell r="BQ190">
            <v>2</v>
          </cell>
        </row>
        <row r="191">
          <cell r="A191">
            <v>186</v>
          </cell>
          <cell r="B191" t="str">
            <v>Bª t«ng t­êng &lt;=45cm cao&lt;=4m hoÆc &gt;4m ®¸ 1x2 M300</v>
          </cell>
          <cell r="C191" t="str">
            <v>m3</v>
          </cell>
          <cell r="D191">
            <v>1</v>
          </cell>
          <cell r="E191">
            <v>437.68</v>
          </cell>
          <cell r="F191">
            <v>0.45200000000000001</v>
          </cell>
          <cell r="L191">
            <v>4.9000000000000002E-2</v>
          </cell>
          <cell r="M191">
            <v>0.19900000000000001</v>
          </cell>
          <cell r="P191">
            <v>0.88300000000000001</v>
          </cell>
          <cell r="Q191">
            <v>0.871</v>
          </cell>
          <cell r="BQ191">
            <v>2</v>
          </cell>
        </row>
        <row r="192">
          <cell r="A192">
            <v>187</v>
          </cell>
          <cell r="B192" t="str">
            <v>Bª t«ng t­êng &lt;=45cm cao&lt;=4m hoÆc &gt;4m ®¸ 2x4 M150</v>
          </cell>
          <cell r="C192" t="str">
            <v>m3</v>
          </cell>
          <cell r="D192">
            <v>1</v>
          </cell>
          <cell r="E192">
            <v>272.64999999999998</v>
          </cell>
          <cell r="F192">
            <v>0.49399999999999999</v>
          </cell>
          <cell r="L192">
            <v>4.9000000000000002E-2</v>
          </cell>
          <cell r="M192">
            <v>0.19900000000000001</v>
          </cell>
          <cell r="O192">
            <v>0.90600000000000003</v>
          </cell>
          <cell r="Q192">
            <v>0.871</v>
          </cell>
          <cell r="BQ192">
            <v>2</v>
          </cell>
        </row>
        <row r="193">
          <cell r="A193">
            <v>188</v>
          </cell>
          <cell r="B193" t="str">
            <v>Bª t«ng t­êng &lt;=45cm cao&lt;=4m hoÆc &gt;4m ®¸ 2x4 M200</v>
          </cell>
          <cell r="C193" t="str">
            <v>m3</v>
          </cell>
          <cell r="D193">
            <v>1</v>
          </cell>
          <cell r="E193">
            <v>331.08</v>
          </cell>
          <cell r="F193">
            <v>0.46899999999999997</v>
          </cell>
          <cell r="L193">
            <v>4.9000000000000002E-2</v>
          </cell>
          <cell r="M193">
            <v>0.19900000000000001</v>
          </cell>
          <cell r="O193">
            <v>0.89600000000000002</v>
          </cell>
          <cell r="Q193">
            <v>0.871</v>
          </cell>
          <cell r="BQ193">
            <v>2</v>
          </cell>
        </row>
        <row r="194">
          <cell r="A194">
            <v>189</v>
          </cell>
          <cell r="B194" t="str">
            <v>Bª t«ng t­êng &lt;=45cm cao&lt;=4m hoÆc &gt;4m ®¸ 2x4 M250</v>
          </cell>
          <cell r="C194" t="str">
            <v>m3</v>
          </cell>
          <cell r="D194">
            <v>1</v>
          </cell>
          <cell r="E194">
            <v>384</v>
          </cell>
          <cell r="F194">
            <v>0.45100000000000001</v>
          </cell>
          <cell r="L194">
            <v>4.9000000000000002E-2</v>
          </cell>
          <cell r="M194">
            <v>0.19900000000000001</v>
          </cell>
          <cell r="O194">
            <v>0.879</v>
          </cell>
          <cell r="Q194">
            <v>0.871</v>
          </cell>
          <cell r="BQ194">
            <v>2</v>
          </cell>
        </row>
        <row r="195">
          <cell r="A195">
            <v>190</v>
          </cell>
          <cell r="B195" t="str">
            <v>Bª t«ng t­êng &lt;=45cm cao&lt;=4m hoÆc &gt;4m ®¸ 2x4 M300</v>
          </cell>
          <cell r="C195" t="str">
            <v>m3</v>
          </cell>
          <cell r="D195">
            <v>1</v>
          </cell>
          <cell r="E195">
            <v>466.38</v>
          </cell>
          <cell r="F195">
            <v>0.41099999999999998</v>
          </cell>
          <cell r="L195">
            <v>4.9000000000000002E-2</v>
          </cell>
          <cell r="M195">
            <v>0.19900000000000001</v>
          </cell>
          <cell r="O195">
            <v>0.879</v>
          </cell>
          <cell r="Q195">
            <v>0.871</v>
          </cell>
          <cell r="BQ195">
            <v>2</v>
          </cell>
        </row>
        <row r="196">
          <cell r="A196">
            <v>191</v>
          </cell>
          <cell r="B196" t="str">
            <v>Bª t«ng t­êng &gt;45cm cao&lt;=4m hoÆc &gt;4m ®¸ 1x2 M150</v>
          </cell>
          <cell r="C196" t="str">
            <v>m3</v>
          </cell>
          <cell r="D196">
            <v>1</v>
          </cell>
          <cell r="E196">
            <v>288.02999999999997</v>
          </cell>
          <cell r="F196">
            <v>0.49</v>
          </cell>
          <cell r="L196">
            <v>0.02</v>
          </cell>
          <cell r="M196">
            <v>4.8000000000000001E-2</v>
          </cell>
          <cell r="P196">
            <v>0.90400000000000003</v>
          </cell>
          <cell r="Q196">
            <v>0.35199999999999998</v>
          </cell>
          <cell r="BQ196">
            <v>2</v>
          </cell>
        </row>
        <row r="197">
          <cell r="A197">
            <v>192</v>
          </cell>
          <cell r="B197" t="str">
            <v>Bª t«ng t­êng &gt;45cm cao&lt;=4m hoÆc &gt;4m ®¸ 1x2 M200</v>
          </cell>
          <cell r="C197" t="str">
            <v>m3</v>
          </cell>
          <cell r="D197">
            <v>1</v>
          </cell>
          <cell r="E197">
            <v>350.55</v>
          </cell>
          <cell r="F197">
            <v>0.46600000000000003</v>
          </cell>
          <cell r="L197">
            <v>0.02</v>
          </cell>
          <cell r="M197">
            <v>4.8000000000000001E-2</v>
          </cell>
          <cell r="P197">
            <v>0.88900000000000001</v>
          </cell>
          <cell r="Q197">
            <v>0.35199999999999998</v>
          </cell>
          <cell r="BQ197">
            <v>2</v>
          </cell>
        </row>
        <row r="198">
          <cell r="A198">
            <v>193</v>
          </cell>
          <cell r="B198" t="str">
            <v>Bª t«ng t­êng &gt;45cm cao&lt;=4m hoÆc &gt;4m ®¸ 1x2 M250</v>
          </cell>
          <cell r="C198" t="str">
            <v>m3</v>
          </cell>
          <cell r="D198">
            <v>1</v>
          </cell>
          <cell r="E198">
            <v>415.13</v>
          </cell>
          <cell r="F198">
            <v>0.438</v>
          </cell>
          <cell r="L198">
            <v>0.02</v>
          </cell>
          <cell r="M198">
            <v>4.8000000000000001E-2</v>
          </cell>
          <cell r="P198">
            <v>0.879</v>
          </cell>
          <cell r="Q198">
            <v>0.35199999999999998</v>
          </cell>
          <cell r="BQ198">
            <v>2</v>
          </cell>
        </row>
        <row r="199">
          <cell r="A199">
            <v>194</v>
          </cell>
          <cell r="B199" t="str">
            <v>Bª t«ng t­êng &gt;45cm cao&lt;=4m hoÆc &gt;4m ®¸ 1x2 M300</v>
          </cell>
          <cell r="C199" t="str">
            <v>m3</v>
          </cell>
          <cell r="D199">
            <v>1</v>
          </cell>
          <cell r="E199">
            <v>437.68</v>
          </cell>
          <cell r="F199">
            <v>0.45200000000000001</v>
          </cell>
          <cell r="L199">
            <v>0.02</v>
          </cell>
          <cell r="M199">
            <v>4.8000000000000001E-2</v>
          </cell>
          <cell r="P199">
            <v>0.88300000000000001</v>
          </cell>
          <cell r="Q199">
            <v>0.35199999999999998</v>
          </cell>
          <cell r="BQ199">
            <v>2</v>
          </cell>
        </row>
        <row r="200">
          <cell r="A200">
            <v>195</v>
          </cell>
          <cell r="B200" t="str">
            <v>Bª t«ng t­êng &gt;45cm cao&lt;=4m hoÆc &gt;4m ®¸ 2x4 M150</v>
          </cell>
          <cell r="C200" t="str">
            <v>m3</v>
          </cell>
          <cell r="D200">
            <v>1</v>
          </cell>
          <cell r="E200">
            <v>272.64999999999998</v>
          </cell>
          <cell r="F200">
            <v>0.49399999999999999</v>
          </cell>
          <cell r="L200">
            <v>0.02</v>
          </cell>
          <cell r="M200">
            <v>4.8000000000000001E-2</v>
          </cell>
          <cell r="O200">
            <v>0.90600000000000003</v>
          </cell>
          <cell r="Q200">
            <v>0.35199999999999998</v>
          </cell>
          <cell r="BQ200">
            <v>2</v>
          </cell>
        </row>
        <row r="201">
          <cell r="A201">
            <v>196</v>
          </cell>
          <cell r="B201" t="str">
            <v>Bª t«ng t­êng &gt;45cm cao&lt;=4m hoÆc &gt;4m ®¸ 2x4 M200</v>
          </cell>
          <cell r="C201" t="str">
            <v>m3</v>
          </cell>
          <cell r="D201">
            <v>1</v>
          </cell>
          <cell r="E201">
            <v>331.08</v>
          </cell>
          <cell r="F201">
            <v>0.46899999999999997</v>
          </cell>
          <cell r="L201">
            <v>0.02</v>
          </cell>
          <cell r="M201">
            <v>4.8000000000000001E-2</v>
          </cell>
          <cell r="O201">
            <v>0.89600000000000002</v>
          </cell>
          <cell r="Q201">
            <v>0.35199999999999998</v>
          </cell>
          <cell r="BQ201">
            <v>2</v>
          </cell>
        </row>
        <row r="202">
          <cell r="A202">
            <v>197</v>
          </cell>
          <cell r="B202" t="str">
            <v>Bª t«ng t­êng &gt;45cm cao&lt;=4m hoÆc &gt;4m ®¸ 2x4 M250</v>
          </cell>
          <cell r="C202" t="str">
            <v>m3</v>
          </cell>
          <cell r="D202">
            <v>1</v>
          </cell>
          <cell r="E202">
            <v>384</v>
          </cell>
          <cell r="F202">
            <v>0.45100000000000001</v>
          </cell>
          <cell r="L202">
            <v>0.02</v>
          </cell>
          <cell r="M202">
            <v>4.8000000000000001E-2</v>
          </cell>
          <cell r="O202">
            <v>0.879</v>
          </cell>
          <cell r="Q202">
            <v>0.35199999999999998</v>
          </cell>
          <cell r="BQ202">
            <v>2</v>
          </cell>
        </row>
        <row r="203">
          <cell r="A203">
            <v>198</v>
          </cell>
          <cell r="B203" t="str">
            <v>Bª t«ng t­êng &gt;45cm cao&lt;=4m hoÆc &gt;4m ®¸ 2x4 M300</v>
          </cell>
          <cell r="C203" t="str">
            <v>m3</v>
          </cell>
          <cell r="D203">
            <v>1</v>
          </cell>
          <cell r="E203">
            <v>466.38</v>
          </cell>
          <cell r="F203">
            <v>0.41099999999999998</v>
          </cell>
          <cell r="L203">
            <v>0.02</v>
          </cell>
          <cell r="M203">
            <v>4.8000000000000001E-2</v>
          </cell>
          <cell r="O203">
            <v>0.879</v>
          </cell>
          <cell r="Q203">
            <v>0.35199999999999998</v>
          </cell>
          <cell r="BQ203">
            <v>2</v>
          </cell>
        </row>
        <row r="204">
          <cell r="A204">
            <v>199</v>
          </cell>
          <cell r="B204" t="str">
            <v>Bª t«ng t­êng trô pin &lt;=45cm cao&lt;=4m hoÆc &gt;4m ®¸ 1x2 M150</v>
          </cell>
          <cell r="C204" t="str">
            <v>m3</v>
          </cell>
          <cell r="D204">
            <v>1</v>
          </cell>
          <cell r="E204">
            <v>288.02999999999997</v>
          </cell>
          <cell r="F204">
            <v>0.49</v>
          </cell>
          <cell r="L204">
            <v>4.9000000000000002E-2</v>
          </cell>
          <cell r="M204">
            <v>0.19900000000000001</v>
          </cell>
          <cell r="P204">
            <v>0.90400000000000003</v>
          </cell>
          <cell r="Q204">
            <v>0.871</v>
          </cell>
        </row>
        <row r="205">
          <cell r="A205">
            <v>200</v>
          </cell>
          <cell r="B205" t="str">
            <v>Bª t«ng t­êng trô pin &lt;=45cm cao&lt;=4m hoÆc &gt;4m ®¸ 1x2 M200</v>
          </cell>
          <cell r="C205" t="str">
            <v>m3</v>
          </cell>
          <cell r="D205">
            <v>1</v>
          </cell>
          <cell r="E205">
            <v>350.55</v>
          </cell>
          <cell r="F205">
            <v>0.46600000000000003</v>
          </cell>
          <cell r="L205">
            <v>4.9000000000000002E-2</v>
          </cell>
          <cell r="M205">
            <v>0.19900000000000001</v>
          </cell>
          <cell r="P205">
            <v>0.88900000000000001</v>
          </cell>
          <cell r="Q205">
            <v>0.871</v>
          </cell>
        </row>
        <row r="206">
          <cell r="A206">
            <v>201</v>
          </cell>
          <cell r="B206" t="str">
            <v>Bª t«ng t­êng trô pin &lt;=45cm cao&lt;=4m hoÆc &gt;4m ®¸ 1x2 M250</v>
          </cell>
          <cell r="C206" t="str">
            <v>m3</v>
          </cell>
          <cell r="D206">
            <v>1</v>
          </cell>
          <cell r="E206">
            <v>415.13</v>
          </cell>
          <cell r="F206">
            <v>0.438</v>
          </cell>
          <cell r="L206">
            <v>4.9000000000000002E-2</v>
          </cell>
          <cell r="M206">
            <v>0.19900000000000001</v>
          </cell>
          <cell r="P206">
            <v>0.879</v>
          </cell>
          <cell r="Q206">
            <v>0.871</v>
          </cell>
        </row>
        <row r="207">
          <cell r="A207">
            <v>202</v>
          </cell>
          <cell r="B207" t="str">
            <v>Bª t«ng t­êng trô pin &lt;=45cm cao&lt;=4m hoÆc &gt;4m ®¸ 1x2 M300</v>
          </cell>
          <cell r="C207" t="str">
            <v>m3</v>
          </cell>
          <cell r="D207">
            <v>1</v>
          </cell>
          <cell r="E207">
            <v>437.68</v>
          </cell>
          <cell r="F207">
            <v>0.45200000000000001</v>
          </cell>
          <cell r="L207">
            <v>4.9000000000000002E-2</v>
          </cell>
          <cell r="M207">
            <v>0.19900000000000001</v>
          </cell>
          <cell r="P207">
            <v>0.88300000000000001</v>
          </cell>
          <cell r="Q207">
            <v>0.871</v>
          </cell>
        </row>
        <row r="208">
          <cell r="A208">
            <v>203</v>
          </cell>
          <cell r="B208" t="str">
            <v>Bª t«ng t­êng trô pin &lt;=45cm cao&lt;=4m hoÆc &gt;4m ®¸ 2x4 M150</v>
          </cell>
          <cell r="C208" t="str">
            <v>m3</v>
          </cell>
          <cell r="D208">
            <v>1</v>
          </cell>
          <cell r="E208">
            <v>272.64999999999998</v>
          </cell>
          <cell r="F208">
            <v>0.49399999999999999</v>
          </cell>
          <cell r="L208">
            <v>4.9000000000000002E-2</v>
          </cell>
          <cell r="M208">
            <v>0.19900000000000001</v>
          </cell>
          <cell r="O208">
            <v>0.90600000000000003</v>
          </cell>
          <cell r="Q208">
            <v>0.871</v>
          </cell>
        </row>
        <row r="209">
          <cell r="A209">
            <v>204</v>
          </cell>
          <cell r="B209" t="str">
            <v>Bª t«ng t­êng trô pin &lt;=45cm cao&lt;=4m hoÆc &gt;4m ®¸ 2x4 M200</v>
          </cell>
          <cell r="C209" t="str">
            <v>m3</v>
          </cell>
          <cell r="D209">
            <v>1</v>
          </cell>
          <cell r="E209">
            <v>331.08</v>
          </cell>
          <cell r="F209">
            <v>0.46899999999999997</v>
          </cell>
          <cell r="L209">
            <v>4.9000000000000002E-2</v>
          </cell>
          <cell r="M209">
            <v>0.19900000000000001</v>
          </cell>
          <cell r="O209">
            <v>0.89600000000000002</v>
          </cell>
          <cell r="Q209">
            <v>0.871</v>
          </cell>
        </row>
        <row r="210">
          <cell r="A210">
            <v>205</v>
          </cell>
          <cell r="B210" t="str">
            <v>Bª t«ng t­êng trô pin &lt;=45cm cao&lt;=4m hoÆc &gt;4m ®¸ 2x4 M250</v>
          </cell>
          <cell r="C210" t="str">
            <v>m3</v>
          </cell>
          <cell r="D210">
            <v>1</v>
          </cell>
          <cell r="E210">
            <v>384</v>
          </cell>
          <cell r="F210">
            <v>0.45100000000000001</v>
          </cell>
          <cell r="L210">
            <v>4.9000000000000002E-2</v>
          </cell>
          <cell r="M210">
            <v>0.19900000000000001</v>
          </cell>
          <cell r="O210">
            <v>0.879</v>
          </cell>
          <cell r="Q210">
            <v>0.871</v>
          </cell>
        </row>
        <row r="211">
          <cell r="A211">
            <v>206</v>
          </cell>
          <cell r="B211" t="str">
            <v>Bª t«ng t­êng trô pin &lt;=45cm cao&lt;=4m hoÆc &gt;4m ®¸ 2x4 M300</v>
          </cell>
          <cell r="C211" t="str">
            <v>m3</v>
          </cell>
          <cell r="D211">
            <v>1</v>
          </cell>
          <cell r="E211">
            <v>466.38</v>
          </cell>
          <cell r="F211">
            <v>0.41099999999999998</v>
          </cell>
          <cell r="L211">
            <v>4.9000000000000002E-2</v>
          </cell>
          <cell r="M211">
            <v>0.19900000000000001</v>
          </cell>
          <cell r="O211">
            <v>0.879</v>
          </cell>
          <cell r="Q211">
            <v>0.871</v>
          </cell>
        </row>
        <row r="212">
          <cell r="A212">
            <v>207</v>
          </cell>
          <cell r="B212" t="str">
            <v>Bª t«ng t­êng trô pin &gt;45cm cao&lt;=4m hoÆc &gt;4m ®¸ 1x2 M150</v>
          </cell>
          <cell r="C212" t="str">
            <v>m3</v>
          </cell>
          <cell r="D212">
            <v>1</v>
          </cell>
          <cell r="E212">
            <v>288.02999999999997</v>
          </cell>
          <cell r="F212">
            <v>0.49</v>
          </cell>
          <cell r="L212">
            <v>4.9000000000000002E-2</v>
          </cell>
          <cell r="M212">
            <v>0.19900000000000001</v>
          </cell>
          <cell r="P212">
            <v>0.90400000000000003</v>
          </cell>
          <cell r="Q212">
            <v>0.35199999999999998</v>
          </cell>
        </row>
        <row r="213">
          <cell r="A213">
            <v>208</v>
          </cell>
          <cell r="B213" t="str">
            <v>Bª t«ng t­êng trô pin &gt;45cm cao&lt;=4m hoÆc &gt;4m ®¸ 1x2 M200</v>
          </cell>
          <cell r="C213" t="str">
            <v>m3</v>
          </cell>
          <cell r="D213">
            <v>1</v>
          </cell>
          <cell r="E213">
            <v>350.55</v>
          </cell>
          <cell r="F213">
            <v>0.46600000000000003</v>
          </cell>
          <cell r="L213">
            <v>4.9000000000000002E-2</v>
          </cell>
          <cell r="M213">
            <v>0.19900000000000001</v>
          </cell>
          <cell r="P213">
            <v>0.88900000000000001</v>
          </cell>
          <cell r="Q213">
            <v>0.35199999999999998</v>
          </cell>
        </row>
        <row r="214">
          <cell r="A214">
            <v>209</v>
          </cell>
          <cell r="B214" t="str">
            <v>Bª t«ng t­êng trô pin &gt;45cm cao&lt;=4m hoÆc &gt;4m ®¸ 1x2 M250</v>
          </cell>
          <cell r="C214" t="str">
            <v>m3</v>
          </cell>
          <cell r="D214">
            <v>1</v>
          </cell>
          <cell r="E214">
            <v>415.13</v>
          </cell>
          <cell r="F214">
            <v>0.438</v>
          </cell>
          <cell r="L214">
            <v>4.9000000000000002E-2</v>
          </cell>
          <cell r="M214">
            <v>0.19900000000000001</v>
          </cell>
          <cell r="P214">
            <v>0.879</v>
          </cell>
          <cell r="Q214">
            <v>0.35199999999999998</v>
          </cell>
        </row>
        <row r="215">
          <cell r="A215">
            <v>210</v>
          </cell>
          <cell r="B215" t="str">
            <v>Bª t«ng t­êng trô pin &gt;45cm cao&lt;=4m hoÆc &gt;4m ®¸ 1x2 M300</v>
          </cell>
          <cell r="C215" t="str">
            <v>m3</v>
          </cell>
          <cell r="D215">
            <v>1</v>
          </cell>
          <cell r="E215">
            <v>437.68</v>
          </cell>
          <cell r="F215">
            <v>0.45200000000000001</v>
          </cell>
          <cell r="L215">
            <v>4.9000000000000002E-2</v>
          </cell>
          <cell r="M215">
            <v>0.19900000000000001</v>
          </cell>
          <cell r="P215">
            <v>0.88300000000000001</v>
          </cell>
          <cell r="Q215">
            <v>0.35199999999999998</v>
          </cell>
        </row>
        <row r="216">
          <cell r="A216">
            <v>211</v>
          </cell>
          <cell r="B216" t="str">
            <v>Bª t«ng t­êng trô pin &gt;45cm cao&lt;=4m hoÆc &gt;4m ®¸ 2x4 M150</v>
          </cell>
          <cell r="C216" t="str">
            <v>m3</v>
          </cell>
          <cell r="D216">
            <v>1</v>
          </cell>
          <cell r="E216">
            <v>272.64999999999998</v>
          </cell>
          <cell r="F216">
            <v>0.49399999999999999</v>
          </cell>
          <cell r="L216">
            <v>4.9000000000000002E-2</v>
          </cell>
          <cell r="M216">
            <v>0.19900000000000001</v>
          </cell>
          <cell r="O216">
            <v>0.90600000000000003</v>
          </cell>
          <cell r="Q216">
            <v>0.35199999999999998</v>
          </cell>
          <cell r="BQ216">
            <v>2</v>
          </cell>
        </row>
        <row r="217">
          <cell r="A217">
            <v>212</v>
          </cell>
          <cell r="B217" t="str">
            <v>Bª t«ng t­êng trô pin &gt;45cm cao&lt;=4m hoÆc &gt;4m ®¸ 2x4 M200</v>
          </cell>
          <cell r="C217" t="str">
            <v>m3</v>
          </cell>
          <cell r="D217">
            <v>1</v>
          </cell>
          <cell r="E217">
            <v>331.08</v>
          </cell>
          <cell r="F217">
            <v>0.46899999999999997</v>
          </cell>
          <cell r="L217">
            <v>4.9000000000000002E-2</v>
          </cell>
          <cell r="M217">
            <v>0.19900000000000001</v>
          </cell>
          <cell r="O217">
            <v>0.89600000000000002</v>
          </cell>
          <cell r="Q217">
            <v>0.35199999999999998</v>
          </cell>
          <cell r="BQ217">
            <v>2</v>
          </cell>
        </row>
        <row r="218">
          <cell r="A218">
            <v>213</v>
          </cell>
          <cell r="B218" t="str">
            <v>Bª t«ng t­êng trô pin &gt;45cm cao&lt;=4m hoÆc &gt;4m ®¸ 2x4 M250</v>
          </cell>
          <cell r="C218" t="str">
            <v>m3</v>
          </cell>
          <cell r="D218">
            <v>1</v>
          </cell>
          <cell r="E218">
            <v>384</v>
          </cell>
          <cell r="F218">
            <v>0.45100000000000001</v>
          </cell>
          <cell r="L218">
            <v>4.9000000000000002E-2</v>
          </cell>
          <cell r="M218">
            <v>0.19900000000000001</v>
          </cell>
          <cell r="O218">
            <v>0.879</v>
          </cell>
          <cell r="Q218">
            <v>0.35199999999999998</v>
          </cell>
          <cell r="BQ218">
            <v>2</v>
          </cell>
        </row>
        <row r="219">
          <cell r="A219">
            <v>214</v>
          </cell>
          <cell r="B219" t="str">
            <v>Bª t«ng t­êng trô pin &gt;45cm cao&lt;=4m hoÆc &gt;4m ®¸ 2x4 M300</v>
          </cell>
          <cell r="C219" t="str">
            <v>m3</v>
          </cell>
          <cell r="D219">
            <v>1</v>
          </cell>
          <cell r="E219">
            <v>466.38</v>
          </cell>
          <cell r="F219">
            <v>0.41099999999999998</v>
          </cell>
          <cell r="L219">
            <v>4.9000000000000002E-2</v>
          </cell>
          <cell r="M219">
            <v>0.19900000000000001</v>
          </cell>
          <cell r="O219">
            <v>0.879</v>
          </cell>
          <cell r="Q219">
            <v>0.35199999999999998</v>
          </cell>
          <cell r="BQ219">
            <v>2</v>
          </cell>
        </row>
        <row r="220">
          <cell r="A220">
            <v>215</v>
          </cell>
          <cell r="B220" t="str">
            <v>Bª t«ng cét tiÕt diÖn , chiÒu cao tuú ý ®¸ 1x2 M150</v>
          </cell>
          <cell r="C220" t="str">
            <v>m3</v>
          </cell>
          <cell r="D220">
            <v>1</v>
          </cell>
          <cell r="E220">
            <v>288.02999999999997</v>
          </cell>
          <cell r="F220">
            <v>0.49</v>
          </cell>
          <cell r="L220">
            <v>0.02</v>
          </cell>
          <cell r="M220">
            <v>4.8000000000000001E-2</v>
          </cell>
          <cell r="P220">
            <v>0.90400000000000003</v>
          </cell>
          <cell r="Q220">
            <v>0.35199999999999998</v>
          </cell>
          <cell r="BQ220">
            <v>1</v>
          </cell>
        </row>
        <row r="221">
          <cell r="A221">
            <v>216</v>
          </cell>
          <cell r="B221" t="str">
            <v>Bª t«ng cét tiÕt diÖn , chiÒu cao tuú ý ®¸ 1x2 M200</v>
          </cell>
          <cell r="C221" t="str">
            <v>m3</v>
          </cell>
          <cell r="D221">
            <v>1</v>
          </cell>
          <cell r="E221">
            <v>350.55</v>
          </cell>
          <cell r="F221">
            <v>0.46600000000000003</v>
          </cell>
          <cell r="L221">
            <v>0.02</v>
          </cell>
          <cell r="M221">
            <v>4.8000000000000001E-2</v>
          </cell>
          <cell r="P221">
            <v>0.88900000000000001</v>
          </cell>
          <cell r="Q221">
            <v>0.35199999999999998</v>
          </cell>
          <cell r="BQ221">
            <v>1</v>
          </cell>
        </row>
        <row r="222">
          <cell r="A222">
            <v>217</v>
          </cell>
          <cell r="B222" t="str">
            <v>Bª t«ng cét tiÕt diÖn , chiÒu cao tuú ý ®¸ 1x2 M250</v>
          </cell>
          <cell r="C222" t="str">
            <v>m3</v>
          </cell>
          <cell r="D222">
            <v>1</v>
          </cell>
          <cell r="E222">
            <v>415.13</v>
          </cell>
          <cell r="F222">
            <v>0.438</v>
          </cell>
          <cell r="L222">
            <v>0.02</v>
          </cell>
          <cell r="M222">
            <v>4.8000000000000001E-2</v>
          </cell>
          <cell r="P222">
            <v>0.879</v>
          </cell>
          <cell r="Q222">
            <v>0.35199999999999998</v>
          </cell>
          <cell r="BQ222">
            <v>1</v>
          </cell>
        </row>
        <row r="223">
          <cell r="A223">
            <v>218</v>
          </cell>
          <cell r="B223" t="str">
            <v>Bª t«ng cét tiÕt diÖn , chiÒu cao tuú ý ®¸ 1x2 M300</v>
          </cell>
          <cell r="C223" t="str">
            <v>m3</v>
          </cell>
          <cell r="D223">
            <v>1</v>
          </cell>
          <cell r="E223">
            <v>437.68</v>
          </cell>
          <cell r="F223">
            <v>0.45200000000000001</v>
          </cell>
          <cell r="L223">
            <v>0.02</v>
          </cell>
          <cell r="M223">
            <v>4.8000000000000001E-2</v>
          </cell>
          <cell r="P223">
            <v>0.88300000000000001</v>
          </cell>
          <cell r="Q223">
            <v>0.35199999999999998</v>
          </cell>
          <cell r="BQ223">
            <v>1</v>
          </cell>
        </row>
        <row r="224">
          <cell r="A224">
            <v>219</v>
          </cell>
          <cell r="B224" t="str">
            <v>Bª t«ng cét tiÕt diÖn , chiÒu cao tuú ý ®¸ 2x4 M150</v>
          </cell>
          <cell r="C224" t="str">
            <v>m3</v>
          </cell>
          <cell r="D224">
            <v>1</v>
          </cell>
          <cell r="E224">
            <v>272.64999999999998</v>
          </cell>
          <cell r="F224">
            <v>0.49399999999999999</v>
          </cell>
          <cell r="L224">
            <v>0.02</v>
          </cell>
          <cell r="M224">
            <v>4.8000000000000001E-2</v>
          </cell>
          <cell r="O224">
            <v>0.90600000000000003</v>
          </cell>
          <cell r="Q224">
            <v>0.35199999999999998</v>
          </cell>
          <cell r="BQ224">
            <v>1</v>
          </cell>
        </row>
        <row r="225">
          <cell r="A225">
            <v>220</v>
          </cell>
          <cell r="B225" t="str">
            <v>Bª t«ng cét tiÕt diÖn , chiÒu cao tuú ý ®¸ 2x4 M200</v>
          </cell>
          <cell r="C225" t="str">
            <v>m3</v>
          </cell>
          <cell r="D225">
            <v>1</v>
          </cell>
          <cell r="E225">
            <v>331.08</v>
          </cell>
          <cell r="F225">
            <v>0.46899999999999997</v>
          </cell>
          <cell r="L225">
            <v>0.02</v>
          </cell>
          <cell r="M225">
            <v>4.8000000000000001E-2</v>
          </cell>
          <cell r="O225">
            <v>0.89600000000000002</v>
          </cell>
          <cell r="Q225">
            <v>0.35199999999999998</v>
          </cell>
          <cell r="BQ225">
            <v>1</v>
          </cell>
        </row>
        <row r="226">
          <cell r="A226">
            <v>221</v>
          </cell>
          <cell r="B226" t="str">
            <v>Bª t«ng cét tiÕt diÖn , chiÒu cao tuú ý ®¸ 2x4 M250</v>
          </cell>
          <cell r="C226" t="str">
            <v>m3</v>
          </cell>
          <cell r="D226">
            <v>1</v>
          </cell>
          <cell r="E226">
            <v>384</v>
          </cell>
          <cell r="F226">
            <v>0.45100000000000001</v>
          </cell>
          <cell r="L226">
            <v>0.02</v>
          </cell>
          <cell r="M226">
            <v>4.8000000000000001E-2</v>
          </cell>
          <cell r="O226">
            <v>0.879</v>
          </cell>
          <cell r="Q226">
            <v>0.35199999999999998</v>
          </cell>
          <cell r="BQ226">
            <v>1</v>
          </cell>
        </row>
        <row r="227">
          <cell r="A227">
            <v>222</v>
          </cell>
          <cell r="B227" t="str">
            <v>Bª t«ng cét tiÕt diÖn , chiÒu cao tuú ý ®¸ 2x4 M300</v>
          </cell>
          <cell r="C227" t="str">
            <v>m3</v>
          </cell>
          <cell r="D227">
            <v>1</v>
          </cell>
          <cell r="E227">
            <v>466.38</v>
          </cell>
          <cell r="F227">
            <v>0.41099999999999998</v>
          </cell>
          <cell r="L227">
            <v>0.02</v>
          </cell>
          <cell r="M227">
            <v>4.8000000000000001E-2</v>
          </cell>
          <cell r="O227">
            <v>0.879</v>
          </cell>
          <cell r="Q227">
            <v>0.35199999999999998</v>
          </cell>
          <cell r="BQ227">
            <v>1</v>
          </cell>
        </row>
        <row r="228">
          <cell r="A228">
            <v>223</v>
          </cell>
          <cell r="B228" t="str">
            <v>Bª t«ng xµ dÇm ,gi»ng,sµn m¸i ®¸ 1x2 M150</v>
          </cell>
          <cell r="C228" t="str">
            <v>m3</v>
          </cell>
          <cell r="D228">
            <v>1</v>
          </cell>
          <cell r="E228">
            <v>288.02999999999997</v>
          </cell>
          <cell r="F228">
            <v>0.49</v>
          </cell>
          <cell r="P228">
            <v>0.90400000000000003</v>
          </cell>
          <cell r="BQ228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envia"/>
      <sheetName val="nhan cong"/>
      <sheetName val="KLuong"/>
      <sheetName val="TH duong"/>
      <sheetName val="Sheet2"/>
      <sheetName val="phu luc"/>
      <sheetName val="THTDT"/>
      <sheetName val="chi phi khac"/>
      <sheetName val="Vchuyen"/>
      <sheetName val="DTCTduong"/>
      <sheetName val="bo via"/>
      <sheetName val="den bu (moi)"/>
      <sheetName val="00000000"/>
      <sheetName val="10000000"/>
      <sheetName val="20000000"/>
      <sheetName val="XL4Poppy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nluong"/>
      <sheetName val="CTdongia"/>
    </sheetNames>
    <sheetDataSet>
      <sheetData sheetId="0"/>
      <sheetData sheetId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2"/>
      <sheetName val="Sheet1"/>
      <sheetName val="00000000"/>
      <sheetName val="28-9"/>
      <sheetName val="27-9"/>
      <sheetName val="26-9"/>
      <sheetName val="25-9"/>
      <sheetName val="24-9"/>
      <sheetName val="23-9"/>
      <sheetName val="22-9"/>
      <sheetName val="21-9"/>
      <sheetName val="20-9"/>
      <sheetName val="19-9"/>
      <sheetName val="18-9"/>
      <sheetName val="17-9"/>
      <sheetName val="16-9"/>
      <sheetName val="15-9"/>
      <sheetName val="14-9"/>
      <sheetName val="13-9"/>
      <sheetName val="12-9"/>
      <sheetName val="11-9"/>
      <sheetName val="10-9"/>
      <sheetName val="9-9"/>
      <sheetName val="8-9"/>
      <sheetName val="7-9"/>
      <sheetName val="6-9"/>
      <sheetName val="5-9"/>
      <sheetName val="4-9"/>
      <sheetName val="3-9"/>
      <sheetName val="2-9"/>
      <sheetName val="1-9"/>
      <sheetName val="30-8"/>
      <sheetName val="29-8"/>
      <sheetName val="28-8"/>
      <sheetName val="27-8"/>
      <sheetName val="26-8"/>
      <sheetName val="25-8"/>
      <sheetName val="24-8"/>
      <sheetName val="23-8"/>
      <sheetName val="22-8"/>
      <sheetName val="21-8"/>
      <sheetName val="20-8"/>
      <sheetName val="19-8"/>
      <sheetName val="18-8"/>
      <sheetName val="17-8"/>
      <sheetName val="16-8"/>
      <sheetName val="15-8"/>
      <sheetName val="14-8"/>
      <sheetName val="13-8"/>
      <sheetName val="12-8"/>
      <sheetName val="11-8"/>
      <sheetName val="10-8"/>
      <sheetName val="9-8"/>
      <sheetName val="8-8"/>
      <sheetName val="7-8"/>
      <sheetName val="6-8"/>
      <sheetName val="5-8"/>
      <sheetName val="4-8"/>
      <sheetName val="03-8"/>
      <sheetName val="02-8"/>
      <sheetName val="01-8"/>
      <sheetName val="31-7"/>
      <sheetName val="30-7"/>
      <sheetName val="29-7"/>
      <sheetName val="28-7"/>
      <sheetName val="mau"/>
      <sheetName val="10000000"/>
      <sheetName val="Do Thi Tho M.M (1)"/>
      <sheetName val="Nguyen Van Ly M.M (2)"/>
      <sheetName val="Dinh Van Hai M.M (3)"/>
      <sheetName val="Tran Van Thai  M.M (4) "/>
      <sheetName val="Tran Thi lan  M.M (5) "/>
      <sheetName val="Pham Thi Thin  M.M (6)"/>
      <sheetName val="Pham Thi Thuong  M.M (7)"/>
      <sheetName val="le Thi Thuc  M.M (8)"/>
      <sheetName val="Ngo Van Nhan M.M (9)"/>
      <sheetName val="Le Tat Ve M.M (10)"/>
      <sheetName val="Le Tat Ve M.M (11)"/>
      <sheetName val="Le Thi Nhan M.M (12)"/>
      <sheetName val="Le Thi Nhan 12(2)"/>
      <sheetName val="Doan Van Chin 13(1)"/>
      <sheetName val="Doan Van Chin 13(2)"/>
      <sheetName val="Dinh Van Ranh 14(1)"/>
      <sheetName val="Nguyen Duy Lien 15(2)"/>
      <sheetName val="Le Huu Hanh 16(1)"/>
      <sheetName val="Le Huu Hanh 16(2)"/>
      <sheetName val="Le Tat Ve 17(2)"/>
      <sheetName val="Phung Thi Hien 18(1)"/>
      <sheetName val="Phung Thi Hien 18(2)"/>
      <sheetName val="Ngo Xuan Dap 19(2)"/>
      <sheetName val="Le Huu Hung 20(2)"/>
      <sheetName val="Le Tri An 21(2)"/>
      <sheetName val="Hoang Van Chuong 22(2)"/>
      <sheetName val="Le Thi Ly 23(2)"/>
      <sheetName val="Vu Dinh Tre 24(2)"/>
      <sheetName val="Le Huu Hoa 25(2)"/>
      <sheetName val="Le Tat Ve 26(2)"/>
      <sheetName val="Hoang Thi Binh 27(2)"/>
      <sheetName val="Hoang Thi Binh 28(2)"/>
      <sheetName val="Le Huu Thuy 29(2)"/>
      <sheetName val="Mau moi"/>
      <sheetName val="PV THIEU(2)"/>
      <sheetName val="NTMEN4(1)"/>
      <sheetName val="XL4Poppy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TN"/>
      <sheetName val="ND"/>
      <sheetName val="VL"/>
      <sheetName val="THCP"/>
      <sheetName val="BQT"/>
      <sheetName val="RG"/>
      <sheetName val="Sheet3"/>
      <sheetName val="BCVT"/>
      <sheetName val="BKHD"/>
      <sheetName val="tienluong"/>
      <sheetName val="KQHDKD"/>
      <sheetName val="KHOI_DONG"/>
      <sheetName val="Inctiettk"/>
      <sheetName val="cd taikhoan"/>
      <sheetName val="NK_CHUNG"/>
      <sheetName val="CD_PSINH"/>
      <sheetName val="CDKT"/>
      <sheetName val="MAKHACH"/>
      <sheetName val="TH_CNO"/>
      <sheetName val="GVL"/>
      <sheetName val="MTL$-INTER"/>
      <sheetName val="DOAM0654CAS"/>
      <sheetName val="hold5"/>
      <sheetName val="hold6"/>
      <sheetName val="NEW-PANEL"/>
      <sheetName val="Phu cap"/>
      <sheetName val="phu cap nam"/>
      <sheetName val="Mau 1 PGD"/>
      <sheetName val="Mau 2PGD"/>
      <sheetName val="Mau 3 PGD"/>
      <sheetName val="mau so 01A"/>
      <sheetName val="mau so 2"/>
      <sheetName val="mau so 3"/>
      <sheetName val="PCCM"/>
      <sheetName val="C/ngty"/>
      <sheetName val=""/>
      <sheetName val="DI-ESTI"/>
      <sheetName val="sat"/>
      <sheetName val="ptvt"/>
      <sheetName val="VC"/>
      <sheetName val="chitiet"/>
      <sheetName val="Hoang Van Chuong _x0000_2(2)"/>
      <sheetName val="X_x0000_4Test5"/>
      <sheetName val="Phung Thi HIen 18(2_x0009_"/>
      <sheetName val="Le Tri An 2_x0011_(2)"/>
      <sheetName val="H/ang Van Chuong 22(2)"/>
      <sheetName val="Le_x0000_Huu Hoa 25(2)"/>
      <sheetName val="klnd"/>
      <sheetName val="DTmd"/>
      <sheetName val="thnl"/>
      <sheetName val="htxl"/>
      <sheetName val="bvl"/>
      <sheetName val="kpct"/>
      <sheetName val="THKP"/>
      <sheetName val="TT"/>
      <sheetName val="DI_ESTI"/>
      <sheetName val="Le Huu Thuy 2_x0019_(2)"/>
      <sheetName val="Phung Thi HIen 18(2 "/>
      <sheetName val="Nguyen Duy Lien ႀ￸(2)"/>
      <sheetName val="ଶᐭ8"/>
      <sheetName val="Le Thi Ly 23(2_x0009_"/>
      <sheetName val="DG chi tiet"/>
      <sheetName val="LIST"/>
      <sheetName val="Le Tat Ve M.M (1ÿÿ"/>
      <sheetName val="Le ThÿÿNhan M.M (12)"/>
      <sheetName val="Nguyen Duy Lien ??(2)"/>
      <sheetName val="XJ74"/>
      <sheetName val="Le"/>
      <sheetName val="Le?Huu Hoa 25(2)"/>
      <sheetName val="NR2Ƞ565 PQ DQ"/>
      <sheetName val="Truot_nen"/>
      <sheetName val="DD 10KV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C_ngty"/>
      <sheetName val="Hoang Van Chuong "/>
      <sheetName val="X"/>
      <sheetName val="H_ang Van Chuong 22(2)"/>
      <sheetName val="Nguyen Duy Lien __(2)"/>
      <sheetName val="Le_Huu Hoa 25(2)"/>
      <sheetName val="SPL4"/>
      <sheetName val="Hoang Van Chuong ?2(2)"/>
      <sheetName val="X?4Test5"/>
      <sheetName val="??8"/>
      <sheetName val="tra-vat-lieu"/>
      <sheetName val="Tra_bang"/>
      <sheetName val="T11,12-2001"/>
      <sheetName val="General"/>
      <sheetName val="PTDG"/>
      <sheetName val="Girder"/>
      <sheetName val="Le Thi Nha_x0000__x0000_f_x0000__x0001__x0000__x0000_"/>
      <sheetName val="_x0002__x0000_"/>
      <sheetName val="Le Thi Ly 23(2 "/>
      <sheetName val="13)8"/>
      <sheetName val="CSDL"/>
      <sheetName val="BK"/>
      <sheetName val="PNK"/>
      <sheetName val="PXK"/>
      <sheetName val="PTL"/>
      <sheetName val="NXT"/>
      <sheetName val="STH131"/>
      <sheetName val="MAU PX"/>
      <sheetName val="331"/>
      <sheetName val="ESTI."/>
      <sheetName val="IBASE"/>
      <sheetName val="KEM NGHIEN GIA CONG"/>
      <sheetName val="SOKT-Q3CT"/>
      <sheetName val="MïJule2"/>
      <sheetName val="__8"/>
      <sheetName val="Hoang Van Chuong _2(2)"/>
      <sheetName val="X_4Test5"/>
      <sheetName val="THONG KE"/>
      <sheetName val="_x0011_3-8"/>
      <sheetName val="ma_pt"/>
      <sheetName val="Tai_khoan"/>
      <sheetName val="So_KT"/>
      <sheetName val="tong_hop"/>
      <sheetName val="phan_tich_DG"/>
      <sheetName val="gia_vat_lieu"/>
      <sheetName val="gia_xe_may"/>
      <sheetName val="gia_nhan_cong"/>
      <sheetName val="cd_taikhoan"/>
      <sheetName val="Do_Thi_Tho_M_M_(1)"/>
      <sheetName val="Nguyen_Van_Ly_M_M_(2)"/>
      <sheetName val="Dinh_Van_Hai_M_M_(3)"/>
      <sheetName val="Tran_Van_Thai__M_M_(4)_"/>
      <sheetName val="Tran_Thi_lan__M_M_(5)_"/>
      <sheetName val="Pham_Thi_Thin__M_M_(6)"/>
      <sheetName val="Pham_Thi_Thuong__M_M_(7)"/>
      <sheetName val="le_Thi_Thuc__M_M_(8)"/>
      <sheetName val="Ngo_Van_Nhan_M_M_(9)"/>
      <sheetName val="Le_Tat_Ve_M_M_(10)"/>
      <sheetName val="Le_Tat_Ve_M_M_(11)"/>
      <sheetName val="Le_Thi_Nhan_M_M_(12)"/>
      <sheetName val="Le_Thi_Nhan_12(2)"/>
      <sheetName val="Doan_Van_Chin_13(1)"/>
      <sheetName val="Doan_Van_Chin_13(2)"/>
      <sheetName val="Dinh_Van_Ranh_14(1)"/>
      <sheetName val="Nguyen_Duy_Lien_15(2)"/>
      <sheetName val="Le_Huu_Hanh_16(1)"/>
      <sheetName val="Le_Huu_Hanh_16(2)"/>
      <sheetName val="Le_Tat_Ve_17(2)"/>
      <sheetName val="Phung_Thi_Hien_18(1)"/>
      <sheetName val="Phung_Thi_Hien_18(2)"/>
      <sheetName val="Ngo_Xuan_Dap_19(2)"/>
      <sheetName val="Le_Huu_Hung_20(2)"/>
      <sheetName val="Le_Tri_An_21(2)"/>
      <sheetName val="Hoang_Van_Chuong_22(2)"/>
      <sheetName val="Le_Thi_Ly_23(2)"/>
      <sheetName val="Vu_Dinh_Tre_24(2)"/>
      <sheetName val="Le_Huu_Hoa_25(2)"/>
      <sheetName val="Le_Tat_Ve_26(2)"/>
      <sheetName val="Hoang_Thi_Binh_27(2)"/>
      <sheetName val="Hoang_Thi_Binh_28(2)"/>
      <sheetName val="Le_Huu_Thuy_29(2)"/>
      <sheetName val="Mau_moi"/>
      <sheetName val="PV_THIEU(2)"/>
      <sheetName val="400-415_37"/>
      <sheetName val="KL_NR2"/>
      <sheetName val="NR2_565_PQ_DQ"/>
      <sheetName val="565_DD"/>
      <sheetName val="M2-415_37"/>
      <sheetName val="507_PQ"/>
      <sheetName val="507_DD"/>
      <sheetName val="_Subbase"/>
      <sheetName val="Phu_cap"/>
      <sheetName val="phu_cap_nam"/>
      <sheetName val="Mau_1_PGD"/>
      <sheetName val="Mau_2PGD"/>
      <sheetName val="Mau_3_PGD"/>
      <sheetName val="mau_so_01A"/>
      <sheetName val="mau_so_2"/>
      <sheetName val="mau_so_3"/>
      <sheetName val="Pham Thi Thuong  M.M (7i"/>
      <sheetName val="LDC"/>
      <sheetName val="LDB"/>
      <sheetName val="LDA"/>
      <sheetName val="LD"/>
      <sheetName val="Le Heu Hoa 25(2_x0009_"/>
      <sheetName val="Hoang Thi Binh 08(2)"/>
      <sheetName val="Book 1 Summary"/>
      <sheetName val="Hoang Van Chuong 2(2)"/>
    </sheetNames>
    <sheetDataSet>
      <sheetData sheetId="0" refreshError="1">
        <row r="3">
          <cell r="A3" t="str">
            <v>111</v>
          </cell>
          <cell r="B3" t="str">
            <v>TiÒn mÆt - VN§</v>
          </cell>
          <cell r="C3" t="str">
            <v>Nî</v>
          </cell>
        </row>
        <row r="4">
          <cell r="A4" t="str">
            <v>1121</v>
          </cell>
          <cell r="B4" t="str">
            <v>TiÒn göi ng©n hµng - VN§</v>
          </cell>
          <cell r="C4" t="str">
            <v>Nî</v>
          </cell>
        </row>
        <row r="5">
          <cell r="A5" t="str">
            <v>1122</v>
          </cell>
          <cell r="B5" t="str">
            <v>TiÒn göi ng©n hµng - ngo¹i tÖ</v>
          </cell>
          <cell r="C5" t="str">
            <v>Nî</v>
          </cell>
        </row>
        <row r="6">
          <cell r="A6" t="str">
            <v>131</v>
          </cell>
          <cell r="B6" t="str">
            <v>ph¶i thu kh¸ch hµng</v>
          </cell>
          <cell r="C6" t="str">
            <v>Nî</v>
          </cell>
        </row>
        <row r="7">
          <cell r="A7" t="str">
            <v>133</v>
          </cell>
          <cell r="B7" t="str">
            <v>ThuÕ GTGT ®­îc khÊu trõ</v>
          </cell>
          <cell r="C7" t="str">
            <v>Nî</v>
          </cell>
        </row>
        <row r="8">
          <cell r="A8" t="str">
            <v>136</v>
          </cell>
          <cell r="B8" t="str">
            <v xml:space="preserve">Ph¶i thu néi bé </v>
          </cell>
          <cell r="C8" t="str">
            <v>Nî</v>
          </cell>
        </row>
        <row r="9">
          <cell r="A9" t="str">
            <v>138</v>
          </cell>
          <cell r="B9" t="str">
            <v>Ph¶i thu kh¸c</v>
          </cell>
          <cell r="C9" t="str">
            <v>Nî</v>
          </cell>
        </row>
        <row r="10">
          <cell r="A10" t="str">
            <v>141</v>
          </cell>
          <cell r="B10" t="str">
            <v>T¹m øng</v>
          </cell>
          <cell r="C10" t="str">
            <v>Nî</v>
          </cell>
        </row>
        <row r="11">
          <cell r="A11" t="str">
            <v>142</v>
          </cell>
          <cell r="B11" t="str">
            <v>Chi phÝ chê ph©n bæ</v>
          </cell>
          <cell r="C11" t="str">
            <v>Nî</v>
          </cell>
        </row>
        <row r="12">
          <cell r="A12" t="str">
            <v>144</v>
          </cell>
          <cell r="B12" t="str">
            <v>ThÕ chÊp ký quü ký c­îc</v>
          </cell>
          <cell r="C12" t="str">
            <v>Nî</v>
          </cell>
        </row>
        <row r="13">
          <cell r="A13" t="str">
            <v>152</v>
          </cell>
          <cell r="B13" t="str">
            <v>Nguyªn liÖu, vËt liÖu</v>
          </cell>
          <cell r="C13" t="str">
            <v>Nî</v>
          </cell>
        </row>
        <row r="14">
          <cell r="A14" t="str">
            <v>153</v>
          </cell>
          <cell r="B14" t="str">
            <v>C«ng cô, dông cô</v>
          </cell>
          <cell r="C14" t="str">
            <v>Nî</v>
          </cell>
        </row>
        <row r="15">
          <cell r="A15" t="str">
            <v>154</v>
          </cell>
          <cell r="B15" t="str">
            <v xml:space="preserve">Chi phÝ SXKD dë dang </v>
          </cell>
          <cell r="C15" t="str">
            <v>Nî</v>
          </cell>
        </row>
        <row r="16">
          <cell r="A16" t="str">
            <v>155</v>
          </cell>
          <cell r="B16" t="str">
            <v>Thµnh phÈm</v>
          </cell>
          <cell r="C16" t="str">
            <v>Nî</v>
          </cell>
        </row>
        <row r="17">
          <cell r="A17" t="str">
            <v>156</v>
          </cell>
          <cell r="B17" t="str">
            <v>Hµng ho¸</v>
          </cell>
          <cell r="C17" t="str">
            <v>Nî</v>
          </cell>
        </row>
        <row r="18">
          <cell r="A18" t="str">
            <v>211</v>
          </cell>
          <cell r="B18" t="str">
            <v>Tµi s¶n cè ®Þnh h÷u h×nh</v>
          </cell>
          <cell r="C18" t="str">
            <v>Nî</v>
          </cell>
        </row>
        <row r="19">
          <cell r="A19" t="str">
            <v>214</v>
          </cell>
          <cell r="B19" t="str">
            <v xml:space="preserve">Hao mßn TSC§ </v>
          </cell>
          <cell r="C19" t="str">
            <v>Cã</v>
          </cell>
        </row>
        <row r="20">
          <cell r="A20" t="str">
            <v>311</v>
          </cell>
          <cell r="B20" t="str">
            <v>Vay ng¾n h¹n</v>
          </cell>
          <cell r="C20" t="str">
            <v>Cã</v>
          </cell>
        </row>
        <row r="21">
          <cell r="A21" t="str">
            <v>331</v>
          </cell>
          <cell r="B21" t="str">
            <v>Ph¶i tr¶ ng­êi b¸n</v>
          </cell>
          <cell r="C21" t="str">
            <v>Cã</v>
          </cell>
        </row>
        <row r="22">
          <cell r="A22" t="str">
            <v>133</v>
          </cell>
          <cell r="B22" t="str">
            <v>ThuÕ GTGT ®­îc khÊu trõ</v>
          </cell>
          <cell r="C22" t="str">
            <v>Nî</v>
          </cell>
        </row>
        <row r="23">
          <cell r="A23" t="str">
            <v>3331</v>
          </cell>
          <cell r="B23" t="str">
            <v>ThuÕ gi¸ trÞ gia t¨ng ph¶i nép</v>
          </cell>
          <cell r="C23" t="str">
            <v>Cã</v>
          </cell>
        </row>
        <row r="24">
          <cell r="A24" t="str">
            <v>3333</v>
          </cell>
          <cell r="B24" t="str">
            <v>ThuÕ nhËp khÈu</v>
          </cell>
          <cell r="C24" t="str">
            <v>Cã</v>
          </cell>
        </row>
        <row r="25">
          <cell r="A25" t="str">
            <v>3337</v>
          </cell>
          <cell r="B25" t="str">
            <v>ThuÕ nhµ ®Êt, tiÒn thuª ®Êt</v>
          </cell>
          <cell r="C25" t="str">
            <v>Cã</v>
          </cell>
        </row>
        <row r="26">
          <cell r="A26" t="str">
            <v>3338</v>
          </cell>
          <cell r="B26" t="str">
            <v>C¸c lo¹i thuÕ kh¸c</v>
          </cell>
          <cell r="C26" t="str">
            <v>Cã</v>
          </cell>
        </row>
        <row r="27">
          <cell r="A27" t="str">
            <v>334</v>
          </cell>
          <cell r="B27" t="str">
            <v>Ph¶i tr¶ c«ng nh©n viªn</v>
          </cell>
          <cell r="C27" t="str">
            <v>Cã</v>
          </cell>
        </row>
        <row r="28">
          <cell r="A28" t="str">
            <v>336</v>
          </cell>
          <cell r="B28" t="str">
            <v>Ph¶i tr¶ néi bé</v>
          </cell>
          <cell r="C28" t="str">
            <v>Cã</v>
          </cell>
        </row>
        <row r="29">
          <cell r="A29" t="str">
            <v>3382</v>
          </cell>
          <cell r="B29" t="str">
            <v>Kinh phÝ c«ng ®oµn</v>
          </cell>
          <cell r="C29" t="str">
            <v>Cã</v>
          </cell>
        </row>
        <row r="30">
          <cell r="A30" t="str">
            <v>3383</v>
          </cell>
          <cell r="B30" t="str">
            <v>B¶o hiÓm x· héi</v>
          </cell>
          <cell r="C30" t="str">
            <v>Cã</v>
          </cell>
        </row>
        <row r="31">
          <cell r="A31" t="str">
            <v>3384</v>
          </cell>
          <cell r="B31" t="str">
            <v>B¶o hiÓm YTÕ</v>
          </cell>
          <cell r="C31" t="str">
            <v>Cã</v>
          </cell>
        </row>
        <row r="32">
          <cell r="A32" t="str">
            <v>3388</v>
          </cell>
          <cell r="B32" t="str">
            <v>Ph¶i tr¶, ph¶i nép kh¸c</v>
          </cell>
          <cell r="C32" t="str">
            <v>Cã</v>
          </cell>
        </row>
        <row r="33">
          <cell r="A33" t="str">
            <v>341</v>
          </cell>
          <cell r="B33" t="str">
            <v>Vay dµi h¹n</v>
          </cell>
          <cell r="C33" t="str">
            <v>Cã</v>
          </cell>
        </row>
        <row r="34">
          <cell r="A34" t="str">
            <v>411</v>
          </cell>
          <cell r="B34" t="str">
            <v>Nguån vèn kinh doanh</v>
          </cell>
          <cell r="C34" t="str">
            <v>Cã</v>
          </cell>
        </row>
        <row r="35">
          <cell r="A35" t="str">
            <v>412</v>
          </cell>
          <cell r="B35" t="str">
            <v>chªnh lÖch ®¸nh gi¸ tµI s¶n</v>
          </cell>
          <cell r="C35" t="str">
            <v>L</v>
          </cell>
        </row>
        <row r="36">
          <cell r="A36" t="str">
            <v>413</v>
          </cell>
          <cell r="B36" t="str">
            <v>Chªnh lÖch tû gi¸</v>
          </cell>
          <cell r="C36" t="str">
            <v>L</v>
          </cell>
        </row>
        <row r="37">
          <cell r="A37" t="str">
            <v>421</v>
          </cell>
          <cell r="B37" t="str">
            <v xml:space="preserve">L·i /lç ch­a ph©n phèi </v>
          </cell>
          <cell r="C37" t="str">
            <v>L</v>
          </cell>
        </row>
        <row r="38">
          <cell r="A38" t="str">
            <v>511</v>
          </cell>
          <cell r="B38" t="str">
            <v>Doanh thu b¸n s¶n phÈm</v>
          </cell>
          <cell r="C38" t="str">
            <v>Cã</v>
          </cell>
        </row>
        <row r="39">
          <cell r="A39" t="str">
            <v>531</v>
          </cell>
          <cell r="B39" t="str">
            <v>Gi¶m gi¸ hµng b¸n</v>
          </cell>
          <cell r="C39" t="str">
            <v>Cã</v>
          </cell>
        </row>
        <row r="40">
          <cell r="A40" t="str">
            <v>532</v>
          </cell>
          <cell r="B40" t="str">
            <v>Hµng b¸n bÞ tr¶ l¹i</v>
          </cell>
          <cell r="C40" t="str">
            <v>Cã</v>
          </cell>
        </row>
        <row r="41">
          <cell r="A41" t="str">
            <v>621</v>
          </cell>
          <cell r="B41" t="str">
            <v>Chi phÝ NVLiÖu trùc tiÕp</v>
          </cell>
          <cell r="C41" t="str">
            <v>Nî</v>
          </cell>
        </row>
        <row r="42">
          <cell r="A42" t="str">
            <v>622</v>
          </cell>
          <cell r="B42" t="str">
            <v>Chi phÝ nh©n c«ng trùc tiÕp</v>
          </cell>
          <cell r="C42" t="str">
            <v>Nî</v>
          </cell>
        </row>
        <row r="43">
          <cell r="A43" t="str">
            <v>627</v>
          </cell>
          <cell r="B43" t="str">
            <v xml:space="preserve">Chi phÝ s¶n xuÊt chung </v>
          </cell>
          <cell r="C43" t="str">
            <v>Nî</v>
          </cell>
        </row>
        <row r="44">
          <cell r="A44" t="str">
            <v>632</v>
          </cell>
          <cell r="B44" t="str">
            <v>Gi¸ vèn b¸n hµng</v>
          </cell>
          <cell r="C44" t="str">
            <v>Nî</v>
          </cell>
        </row>
        <row r="45">
          <cell r="A45" t="str">
            <v>641</v>
          </cell>
          <cell r="B45" t="str">
            <v xml:space="preserve">Chi phÝ b¸n hµng </v>
          </cell>
          <cell r="C45" t="str">
            <v>Nî</v>
          </cell>
        </row>
        <row r="46">
          <cell r="A46" t="str">
            <v>642</v>
          </cell>
          <cell r="B46" t="str">
            <v>Chi phÝ qu¶n lý doanh nghiÖp</v>
          </cell>
          <cell r="C46" t="str">
            <v>Nî</v>
          </cell>
        </row>
        <row r="47">
          <cell r="A47" t="str">
            <v>711</v>
          </cell>
          <cell r="B47" t="str">
            <v>Thu nhËp ho¹t ®éng tµi chÝnh</v>
          </cell>
          <cell r="C47" t="str">
            <v>Cã</v>
          </cell>
        </row>
        <row r="48">
          <cell r="A48" t="str">
            <v>721</v>
          </cell>
          <cell r="B48" t="str">
            <v>Thu nhËp bÊt th­êng</v>
          </cell>
          <cell r="C48" t="str">
            <v>Cã</v>
          </cell>
        </row>
        <row r="49">
          <cell r="A49" t="str">
            <v>811</v>
          </cell>
          <cell r="B49" t="str">
            <v>Chi phÝ ho¹t ®éng tµi chÝnh</v>
          </cell>
          <cell r="C49" t="str">
            <v>Nî</v>
          </cell>
        </row>
        <row r="50">
          <cell r="A50" t="str">
            <v>821</v>
          </cell>
          <cell r="B50" t="str">
            <v>Chi phÝ ho¹t ®éng tµi chÝnh</v>
          </cell>
          <cell r="C50" t="str">
            <v>Nî</v>
          </cell>
        </row>
        <row r="51">
          <cell r="A51" t="str">
            <v>911</v>
          </cell>
          <cell r="B51" t="str">
            <v>X¸c ®Þnh kÕt qu¶ kinh doanh</v>
          </cell>
          <cell r="C51" t="str">
            <v>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 refreshError="1"/>
      <sheetData sheetId="193" refreshError="1"/>
      <sheetData sheetId="194"/>
      <sheetData sheetId="195"/>
      <sheetData sheetId="196" refreshError="1"/>
      <sheetData sheetId="197"/>
      <sheetData sheetId="198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OK "/>
      <sheetName val="Sum tinh lai"/>
      <sheetName val="Gia T5"/>
      <sheetName val="Gia T5+5%"/>
      <sheetName val="Gia TLC"/>
      <sheetName val="Gia TLC+5%"/>
      <sheetName val="Gia VNa"/>
      <sheetName val="Gia VNa+5%"/>
      <sheetName val="Gia T4"/>
      <sheetName val="Gia T4+5%"/>
      <sheetName val="Phan chi  OK"/>
      <sheetName val="Bid Price Schedule (2)"/>
      <sheetName val="GiaThau (3)"/>
      <sheetName val="Sheet1"/>
      <sheetName val="Bid Price Summary"/>
      <sheetName val="Bid Price Schedule"/>
      <sheetName val="Name"/>
      <sheetName val="00000000"/>
      <sheetName val="XL4Poppy"/>
      <sheetName val="PT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>
        <row r="4">
          <cell r="C4">
            <v>122.36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 cao the 35kV"/>
      <sheetName val="Ct ha the"/>
      <sheetName val="CT TBA"/>
      <sheetName val="VLNC-Trung ap"/>
      <sheetName val="VLNChathe"/>
      <sheetName val="VLNChathe (2)"/>
      <sheetName val="Thinghiem"/>
      <sheetName val="THTN"/>
      <sheetName val="Du Toan"/>
      <sheetName val="THDT"/>
      <sheetName val="xd"/>
      <sheetName val="Cto"/>
      <sheetName val="thu hoi (2)"/>
      <sheetName val="000"/>
      <sheetName val="KH-Q1,Q2,01"/>
      <sheetName val="dongia (2)"/>
      <sheetName val="gtrinh"/>
      <sheetName val="lam-moi"/>
      <sheetName val="chitiet"/>
      <sheetName val="giathanh1"/>
      <sheetName val="DONGIA"/>
      <sheetName val="thao-go"/>
      <sheetName val="#REF"/>
      <sheetName val="TH XL"/>
      <sheetName val="VC"/>
      <sheetName val="Tiepdia"/>
      <sheetName val="CHITIET VL-NC"/>
      <sheetName val="TT_10KV"/>
      <sheetName val="_x0003_to"/>
      <sheetName val="Sheet1"/>
      <sheetName val="Sheet2"/>
      <sheetName val="Sheet3"/>
      <sheetName val="XL4Poppy"/>
      <sheetName val="Tong h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hop"/>
      <sheetName val="0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</sheetNames>
    <sheetDataSet>
      <sheetData sheetId="0" refreshError="1"/>
      <sheetData sheetId="1" refreshError="1"/>
      <sheetData sheetId="2" refreshError="1">
        <row r="13">
          <cell r="K13">
            <v>4400</v>
          </cell>
        </row>
        <row r="14">
          <cell r="K14">
            <v>4400</v>
          </cell>
        </row>
        <row r="16">
          <cell r="K16">
            <v>4849.9000000000005</v>
          </cell>
        </row>
        <row r="23">
          <cell r="K23">
            <v>5149.9000000000005</v>
          </cell>
        </row>
        <row r="24">
          <cell r="K24">
            <v>5149.9000000000005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c thanh"/>
      <sheetName val="QL1A-QL1A moi"/>
      <sheetName val="C.Bong Lang"/>
      <sheetName val="Vanh dai III (TKKT)"/>
      <sheetName val="SL-NC-MB"/>
      <sheetName val="CX-AD-LC"/>
      <sheetName val="Cau-YBai-Tam"/>
      <sheetName val="XL4Poppy"/>
      <sheetName val="733,14-km238"/>
      <sheetName val="Km237_733,14"/>
      <sheetName val="Km236"/>
      <sheetName val="Km235"/>
      <sheetName val="Km234"/>
      <sheetName val="Km233s,"/>
      <sheetName val="Km232s"/>
      <sheetName val="Km231,"/>
      <sheetName val="Km230"/>
      <sheetName val="Km229s,"/>
      <sheetName val="228_100-229s"/>
      <sheetName val="Km227_838-228_100"/>
      <sheetName val="Km227-227_838s,"/>
      <sheetName val="Km226"/>
      <sheetName val="Km225,"/>
      <sheetName val="Tong KLBS"/>
      <sheetName val="THKLNT(lantruoc)"/>
      <sheetName val="BGThau"/>
      <sheetName val="00000000"/>
      <sheetName val="00000001"/>
      <sheetName val="XL4Test5"/>
      <sheetName val="VL"/>
      <sheetName val="NHAN CONG"/>
      <sheetName val="MAY"/>
      <sheetName val="VUA"/>
      <sheetName val="DG CAU"/>
      <sheetName val="THOP CAU"/>
      <sheetName val="TLP CAU"/>
      <sheetName val="DAKT1"/>
      <sheetName val="Sheet3"/>
      <sheetName val="XL4Poppy (2)"/>
      <sheetName val="KluongKm2,4"/>
      <sheetName val="B.cao"/>
      <sheetName val="T.tiet"/>
      <sheetName val="T.N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TQT-AFC"/>
      <sheetName val="CLDG"/>
      <sheetName val="CLKL"/>
      <sheetName val="Bang du toan"/>
      <sheetName val="Tonghop"/>
      <sheetName val="Bu gia"/>
      <sheetName val="PT vat tu"/>
      <sheetName val="PTVT"/>
      <sheetName val="solieu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To trinh"/>
      <sheetName val="bang2"/>
      <sheetName val="coHoan"/>
      <sheetName val="Congty"/>
      <sheetName val="VPPN"/>
      <sheetName val="XN74"/>
      <sheetName val="XN54"/>
      <sheetName val="XN33"/>
      <sheetName val="NK96"/>
      <sheetName val="ETH"/>
      <sheetName val="1"/>
      <sheetName val="2"/>
      <sheetName val="3"/>
      <sheetName val="4"/>
      <sheetName val="5"/>
      <sheetName val="6"/>
      <sheetName val="7"/>
      <sheetName val="DT1"/>
      <sheetName val="DT2"/>
      <sheetName val="Nam 2001"/>
      <sheetName val="Tang TSCD 98-02"/>
      <sheetName val="BIEN DONG"/>
      <sheetName val="TSCD 2001"/>
      <sheetName val="Quy 1-2002"/>
      <sheetName val="Quy 2-2002"/>
      <sheetName val="Quy 3-2002"/>
      <sheetName val="Quy 4-02"/>
      <sheetName val="BDCNH"/>
      <sheetName val="bcdtk"/>
      <sheetName val="BCDKTNH"/>
      <sheetName val="BCDKTTHUE"/>
      <sheetName val="tscd"/>
      <sheetName val="boHoan"/>
      <sheetName val="XN79"/>
      <sheetName val="CTMT"/>
      <sheetName val="QL1A-QL1Q moi"/>
      <sheetName val="C.     Lang"/>
      <sheetName val="DG CAࡕ"/>
      <sheetName val="SL)NC-MB"/>
      <sheetName val="TK331D"/>
      <sheetName val="334 d"/>
      <sheetName val="KluongKm2_x000c_4"/>
      <sheetName val="chi tieu HV"/>
      <sheetName val="sx-tt-tk"/>
      <sheetName val="tsach &amp; thu hoi"/>
      <sheetName val="KK than ton   (2)"/>
      <sheetName val="TT cac ho"/>
      <sheetName val="TT trong nganh"/>
      <sheetName val="chi tiet KHM"/>
      <sheetName val="Pham cap"/>
      <sheetName val="DT than"/>
      <sheetName val="Doanh thu"/>
      <sheetName val="gia tri SX"/>
      <sheetName val="Maumoi"/>
      <sheetName val="So Cong nghiep"/>
      <sheetName val="Bia BC"/>
      <sheetName val="TH thanton"/>
      <sheetName val="Dat da thai"/>
      <sheetName val="XNGB-BMD2004"/>
      <sheetName val="GTSX (TT)"/>
      <sheetName val="XNGBQI"/>
      <sheetName val="XNGBQI (2)"/>
      <sheetName val="XNGBQI-04 (2)"/>
      <sheetName val="XNGBQII-04 (2)"/>
      <sheetName val="XNGBQII-04 (3)"/>
      <sheetName val="XNGBQIII-04 (2)"/>
      <sheetName val="XNGBQIII-04 (3)"/>
      <sheetName val="XNGBQIV-04 (2)"/>
      <sheetName val="XNGBQIV-04 (3)"/>
      <sheetName val="XNGBQI-05"/>
      <sheetName val="XNGBQI-05 (02)"/>
      <sheetName val="Gia ban NK bq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000000000000"/>
      <sheetName val="100000000000"/>
      <sheetName val="200000000000"/>
      <sheetName val="gVL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ojg KLBS"/>
      <sheetName val="DG CA?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17"/>
      <sheetName val="Sheet18"/>
      <sheetName val="HK1"/>
      <sheetName val="HK2"/>
      <sheetName val="CANAM"/>
      <sheetName val="Tai khoan"/>
      <sheetName val="NCong-Day-Su"/>
      <sheetName val="C.   ( Lang"/>
      <sheetName val="Maumo)"/>
      <sheetName val="Tonchop"/>
      <sheetName val="giathanh1"/>
      <sheetName val="XL@Test5"/>
      <sheetName val="ɂIEN DONG"/>
      <sheetName val="MTO REV.0"/>
      <sheetName val="DG "/>
      <sheetName val="KH-Q1,Q2,01"/>
      <sheetName val="P_x000c_V"/>
      <sheetName val="TTDZ22"/>
      <sheetName val="¶"/>
      <sheetName val="NC"/>
      <sheetName val="Quy_x0000_2-2002"/>
      <sheetName val="PTVL"/>
      <sheetName val="Bu gi`"/>
      <sheetName val="KK bo sung"/>
      <sheetName val="?IEN DONG"/>
      <sheetName val="dmuc"/>
      <sheetName val="BGThau_x0008__x0000__x0000_0000000_x0001__x0006__x0000__x0000_Sheet1_x0008__x0000__x0000_To"/>
      <sheetName val="S`eet12"/>
      <sheetName val="XHXPXXX1"/>
      <sheetName val="0000000!"/>
      <sheetName val="To tri.h"/>
      <sheetName val="cnHoan"/>
      <sheetName val="V_x0010_PN"/>
      <sheetName val="tuong"/>
      <sheetName val="IBASE"/>
      <sheetName val="˜Ünh m÷c"/>
      <sheetName val="bia"/>
      <sheetName val="rotoduc"/>
      <sheetName val="Truc"/>
      <sheetName val="roto truc"/>
      <sheetName val="stato"/>
      <sheetName val="Day dt"/>
      <sheetName val="statoday"/>
      <sheetName val="stato tam say"/>
      <sheetName val="Than"/>
      <sheetName val="Stato ep"/>
      <sheetName val="Canh gio"/>
      <sheetName val="Napgio"/>
      <sheetName val="Nap-Hopcuc"/>
      <sheetName val="laprap"/>
      <sheetName val="Cocau"/>
      <sheetName val="Ss Z- GB"/>
      <sheetName val="NHAN_x0000_CONG"/>
      <sheetName val="Ünh m÷c"/>
      <sheetName val="S29_x0007__x0000__x0000_S"/>
      <sheetName val="Quy"/>
      <sheetName val="Girder"/>
      <sheetName val="Tendon"/>
      <sheetName val="DG CA_"/>
      <sheetName val="_IEN DONG"/>
      <sheetName val="BGThau_x0008_"/>
      <sheetName val="NHAN"/>
      <sheetName val="S29_x0007_"/>
      <sheetName val="TDT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thao-go"/>
      <sheetName val="DON GIA"/>
      <sheetName val="TONGKE-HT"/>
      <sheetName val="DG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DO AM DT"/>
      <sheetName val="NEW-PANEL"/>
      <sheetName val="Na2_x0000__x0000_01"/>
      <sheetName val="CHIET TINH TBA"/>
      <sheetName val="XL4@oppy"/>
      <sheetName val="Km&quot;33s,"/>
      <sheetName val="Km227O838-228_100"/>
      <sheetName val="Dang TSCD 98-02"/>
      <sheetName val="dtkhovd"/>
      <sheetName val="CDMT"/>
      <sheetName val="Sêeet9"/>
      <sheetName val="DT1????????"/>
      <sheetName val="Quy?2-2002"/>
      <sheetName val="DT1?"/>
      <sheetName val="S29_x0007_??S"/>
      <sheetName val="S29_x0007_?S"/>
      <sheetName val="PPVT"/>
      <sheetName val="XL4Te3t5"/>
      <sheetName val="_x0000__x0000_쫀䃝Z"/>
      <sheetName val="_x0000__x0000__x0000__x0000_¢é@Z_x0000__x000d__x0000__x0004_"/>
      <sheetName val="4_x0004__x0000__x0000_XN54_x0004__x0000__x0000_XN33_x0004__x0000__x0000_NK96_x0006__x0000__x0000_Sheet4"/>
      <sheetName val="XNGBQII-_x0010_4 (3)"/>
      <sheetName val="CT_x0000_doanh thu 2005"/>
      <sheetName val="Q3-01-duyet"/>
      <sheetName val="CĮ     Lang"/>
      <sheetName val="Tang TRCD 98-02"/>
      <sheetName val="TSCD 2000"/>
      <sheetName val="data"/>
      <sheetName val="phi"/>
      <sheetName val="Bang TK goc"/>
      <sheetName val="DGchitiet "/>
      <sheetName val="ptdg"/>
      <sheetName val="Sheetr"/>
      <sheetName val="Km225_838-228_100"/>
      <sheetName val="Thuc_thanh"/>
      <sheetName val="QL1A-QL1A_moi"/>
      <sheetName val="C_Bong_Lang"/>
      <sheetName val="Vanh_dai_III_(TKKT)"/>
      <sheetName val="NHAN_CONG"/>
      <sheetName val="DG_CAU"/>
      <sheetName val="THOP_CAU"/>
      <sheetName val="TLP_CAU"/>
      <sheetName val="XL4Poppy_(2)"/>
      <sheetName val="B_cao"/>
      <sheetName val="T_tiet"/>
      <sheetName val="T_N"/>
      <sheetName val="Tong_KLBS"/>
      <sheetName val="To_trinh"/>
      <sheetName val="Bang_du_toan"/>
      <sheetName val="Bu_gia"/>
      <sheetName val="PT_vat_tu"/>
      <sheetName val="Nam_2001"/>
      <sheetName val="Tang_TSCD_98-02"/>
      <sheetName val="BIEN_DONG"/>
      <sheetName val="TSCD_2001"/>
      <sheetName val="Quy_1-2002"/>
      <sheetName val="Quy_2-2002"/>
      <sheetName val="Quy_3-2002"/>
      <sheetName val="Quy_4-02"/>
      <sheetName val="THKL_nghiemthu"/>
      <sheetName val="DTCTtaluy_(2)"/>
      <sheetName val="KLDGTT&lt;120%_(2)"/>
      <sheetName val="TH_(2)"/>
      <sheetName val="C______Lang"/>
      <sheetName val="QL1A-QL1Q_moi"/>
      <sheetName val="KluongKm24"/>
      <sheetName val="DG_CAࡕ"/>
      <sheetName val="chi_tieu_HV"/>
      <sheetName val="tsach_&amp;_thu_hoi"/>
      <sheetName val="KK_than_ton___(2)"/>
      <sheetName val="TT_cac_ho"/>
      <sheetName val="TT_trong_nganh"/>
      <sheetName val="chi_tiet_KHM"/>
      <sheetName val="Pham_cap"/>
      <sheetName val="DT_than"/>
      <sheetName val="Doanh_thu"/>
      <sheetName val="gia_tri_SX"/>
      <sheetName val="So_Cong_nghiep"/>
      <sheetName val="Bia_BC"/>
      <sheetName val="TH_thanton"/>
      <sheetName val="Dat_da_thai"/>
      <sheetName val="GTSX_(TT)"/>
      <sheetName val="XNGBQI_(2)"/>
      <sheetName val="XNGBQI-04_(2)"/>
      <sheetName val="XNGBQII-04_(2)"/>
      <sheetName val="XNGBQII-04_(3)"/>
      <sheetName val="XNGBQIII-04_(2)"/>
      <sheetName val="XNGBQIII-04_(3)"/>
      <sheetName val="XNGBQIV-04_(2)"/>
      <sheetName val="XNGBQIV-04_(3)"/>
      <sheetName val="XNGBQI-05_(02)"/>
      <sheetName val="Gia_ban_NK_bq"/>
      <sheetName val="334_d"/>
      <sheetName val="Tai_khoan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DG_"/>
      <sheetName val="PV"/>
      <sheetName val="C____(_Lang"/>
      <sheetName val="Tojg_KLBS"/>
      <sheetName val="MTO_REV_0"/>
      <sheetName val="KK_bo_sung"/>
      <sheetName val="çha tri SX"/>
      <sheetName val="So Conç!îfhiep"/>
      <sheetName val="XLÿÿest5"/>
      <sheetName val="tra-vat-lieu"/>
      <sheetName val="INV"/>
      <sheetName val="XXXXXXX2"/>
      <sheetName val="XXXXXXX3"/>
      <sheetName val="XXXXXXX4"/>
      <sheetName val="DT1________"/>
      <sheetName val="DT1_"/>
      <sheetName val="S29_x0007___S"/>
      <sheetName val="S29_x0007__S"/>
      <sheetName val="DI-ESTI"/>
      <sheetName val="Quy $-02"/>
      <sheetName val="XNGBQI-01 (02)"/>
      <sheetName val="Km227Э227_838s,"/>
      <sheetName val="coctuatrenda"/>
      <sheetName val="MTO REV.2(ARMOR)"/>
      <sheetName val="126"/>
      <sheetName val="127"/>
      <sheetName val="128"/>
      <sheetName val="129"/>
      <sheetName val="130"/>
      <sheetName val="131"/>
      <sheetName val="132"/>
      <sheetName val="133"/>
      <sheetName val="Chart1"/>
      <sheetName val="134"/>
      <sheetName val="135"/>
      <sheetName val="136"/>
      <sheetName val="137"/>
      <sheetName val="138"/>
      <sheetName val="139"/>
      <sheetName val="KHUPHO8"/>
      <sheetName val="THONGKE"/>
      <sheetName val="Hạng mục 2"/>
      <sheetName val="M+MC"/>
      <sheetName val="THANG1_2004"/>
      <sheetName val="QBINH"/>
      <sheetName val="QTRI"/>
      <sheetName val="HUE"/>
      <sheetName val="DNANG"/>
      <sheetName val="QNAM"/>
      <sheetName val="QNGAI"/>
      <sheetName val="BDINH"/>
      <sheetName val="PYEN"/>
      <sheetName val="KHOA"/>
      <sheetName val="GLAI"/>
      <sheetName val="KTUM"/>
      <sheetName val="DLAK"/>
      <sheetName val="CQUAN"/>
      <sheetName val="TND"/>
      <sheetName val="TKD"/>
      <sheetName val="NTHON"/>
      <sheetName val="MTINH"/>
      <sheetName val="CODIEN"/>
      <sheetName val="VTU"/>
      <sheetName val="LUOI"/>
      <sheetName val="VUANHO"/>
      <sheetName val="VIEN"/>
      <sheetName val="KSAN"/>
      <sheetName val="Thang2_2004"/>
      <sheetName val="tienluong"/>
      <sheetName val="ctTBA"/>
      <sheetName val="NHAN CWNG"/>
      <sheetName val="BGThau_x0008__x0000_0000000_x0001__x0006__x0000_Sheet1_x0008__x0000_To dr"/>
      <sheetName val="GVL-NC-M"/>
      <sheetName val="CT"/>
      <sheetName val="DT1_x0000__x0000__x0000__x0000__x0000__x0000__x0000__x0000_"/>
      <sheetName val="DT1_x0000_"/>
      <sheetName val="S29_x0007__x0000_S"/>
    </sheetNames>
    <sheetDataSet>
      <sheetData sheetId="0" refreshError="1">
        <row r="29">
          <cell r="E29">
            <v>9566000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/>
      <sheetData sheetId="123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 refreshError="1"/>
      <sheetData sheetId="293"/>
      <sheetData sheetId="294"/>
      <sheetData sheetId="295"/>
      <sheetData sheetId="296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 refreshError="1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/>
      <sheetData sheetId="467"/>
      <sheetData sheetId="468" refreshError="1"/>
      <sheetData sheetId="469" refreshError="1"/>
      <sheetData sheetId="470"/>
      <sheetData sheetId="471"/>
      <sheetData sheetId="47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enluong"/>
      <sheetName val="kinhphi"/>
      <sheetName val="ptvt"/>
      <sheetName val="sat"/>
      <sheetName val="clechvt"/>
      <sheetName val="dongia"/>
      <sheetName val="tonghop"/>
      <sheetName val="ctttc"/>
      <sheetName val="bia"/>
      <sheetName val="Xlc5nguyhiem"/>
      <sheetName val="CosoXL"/>
      <sheetName val="KhuTG"/>
      <sheetName val="00000000"/>
      <sheetName val="10000000"/>
      <sheetName val="XL4Poppy"/>
      <sheetName val="XL4Test5"/>
    </sheetNames>
    <sheetDataSet>
      <sheetData sheetId="0"/>
      <sheetData sheetId="1"/>
      <sheetData sheetId="2" refreshError="1">
        <row r="6">
          <cell r="A6">
            <v>1</v>
          </cell>
          <cell r="B6">
            <v>2</v>
          </cell>
          <cell r="C6">
            <v>3</v>
          </cell>
          <cell r="D6">
            <v>4</v>
          </cell>
          <cell r="E6">
            <v>5</v>
          </cell>
          <cell r="F6">
            <v>6</v>
          </cell>
          <cell r="G6">
            <v>7</v>
          </cell>
          <cell r="H6">
            <v>8</v>
          </cell>
          <cell r="I6">
            <v>9</v>
          </cell>
          <cell r="J6">
            <v>10</v>
          </cell>
          <cell r="K6">
            <v>11</v>
          </cell>
          <cell r="L6">
            <v>12</v>
          </cell>
          <cell r="M6">
            <v>13</v>
          </cell>
          <cell r="N6">
            <v>14</v>
          </cell>
          <cell r="O6">
            <v>15</v>
          </cell>
          <cell r="P6">
            <v>16</v>
          </cell>
          <cell r="Q6">
            <v>17</v>
          </cell>
          <cell r="R6">
            <v>18</v>
          </cell>
          <cell r="S6">
            <v>19</v>
          </cell>
          <cell r="T6">
            <v>20</v>
          </cell>
          <cell r="U6">
            <v>21</v>
          </cell>
          <cell r="V6">
            <v>22</v>
          </cell>
          <cell r="W6">
            <v>23</v>
          </cell>
          <cell r="X6">
            <v>24</v>
          </cell>
        </row>
        <row r="7">
          <cell r="B7" t="str">
            <v>I. NÃÖN MOÏNG :</v>
          </cell>
          <cell r="C7">
            <v>0</v>
          </cell>
          <cell r="D7">
            <v>0</v>
          </cell>
          <cell r="F7">
            <v>22169.059999999998</v>
          </cell>
          <cell r="G7">
            <v>22.68</v>
          </cell>
          <cell r="H7">
            <v>53.999999999999993</v>
          </cell>
          <cell r="I7">
            <v>10.17</v>
          </cell>
          <cell r="J7">
            <v>30.39</v>
          </cell>
          <cell r="K7">
            <v>110.8</v>
          </cell>
          <cell r="L7">
            <v>0</v>
          </cell>
          <cell r="M7">
            <v>8043.3</v>
          </cell>
          <cell r="N7">
            <v>5713</v>
          </cell>
          <cell r="O7">
            <v>0</v>
          </cell>
          <cell r="P7">
            <v>0</v>
          </cell>
          <cell r="Q7">
            <v>0</v>
          </cell>
          <cell r="R7">
            <v>0.67</v>
          </cell>
          <cell r="S7">
            <v>10.039999999999999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1.45</v>
          </cell>
        </row>
        <row r="8">
          <cell r="A8" t="str">
            <v>221.110</v>
          </cell>
          <cell r="B8" t="str">
            <v>Bã täng loït moïng âaï 4x6 M50</v>
          </cell>
          <cell r="C8" t="str">
            <v>m3</v>
          </cell>
          <cell r="D8">
            <v>16.239999999999998</v>
          </cell>
          <cell r="E8">
            <v>16.649999999999999</v>
          </cell>
          <cell r="F8">
            <v>2573</v>
          </cell>
          <cell r="G8">
            <v>7.24</v>
          </cell>
          <cell r="J8">
            <v>12.44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A9" t="str">
            <v>200.110</v>
          </cell>
          <cell r="B9" t="str">
            <v>Xáy âaï häüc væîa XM M75</v>
          </cell>
          <cell r="C9" t="str">
            <v>m3</v>
          </cell>
          <cell r="D9">
            <v>92.33</v>
          </cell>
          <cell r="E9">
            <v>38.78</v>
          </cell>
          <cell r="F9">
            <v>9987.7900000000009</v>
          </cell>
          <cell r="H9">
            <v>43.36</v>
          </cell>
          <cell r="K9">
            <v>110.8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0">
          <cell r="A10" t="str">
            <v>204.410</v>
          </cell>
          <cell r="B10" t="str">
            <v xml:space="preserve">Xáy gaûch âàûc væîa XM M75 báûc cáúp , bäön hoa </v>
          </cell>
          <cell r="C10" t="str">
            <v>m2</v>
          </cell>
          <cell r="D10">
            <v>9.93</v>
          </cell>
          <cell r="E10">
            <v>2.98</v>
          </cell>
          <cell r="F10">
            <v>767.5</v>
          </cell>
          <cell r="H10">
            <v>3.33</v>
          </cell>
          <cell r="K10">
            <v>0</v>
          </cell>
          <cell r="L10">
            <v>0</v>
          </cell>
          <cell r="M10">
            <v>8043.3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0.03</v>
          </cell>
        </row>
        <row r="11">
          <cell r="A11" t="str">
            <v>224.110</v>
          </cell>
          <cell r="B11" t="str">
            <v>Bã täng giàòng moïng âaï 1x2 M200</v>
          </cell>
          <cell r="C11">
            <v>0</v>
          </cell>
          <cell r="D11">
            <v>8.52</v>
          </cell>
          <cell r="E11">
            <v>8.73</v>
          </cell>
          <cell r="F11">
            <v>2839</v>
          </cell>
          <cell r="G11">
            <v>3.6</v>
          </cell>
          <cell r="I11">
            <v>7.34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0.98</v>
          </cell>
        </row>
        <row r="12">
          <cell r="A12" t="str">
            <v>222.410</v>
          </cell>
          <cell r="B12" t="str">
            <v xml:space="preserve">Bã täng moïng cäüt M200 âaï 1x2 </v>
          </cell>
          <cell r="C12" t="str">
            <v>m3</v>
          </cell>
          <cell r="D12">
            <v>3.2899999999999996</v>
          </cell>
          <cell r="E12">
            <v>3.37</v>
          </cell>
          <cell r="F12">
            <v>1095.92</v>
          </cell>
          <cell r="G12">
            <v>1.39</v>
          </cell>
          <cell r="I12">
            <v>2.83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0.44</v>
          </cell>
        </row>
        <row r="13">
          <cell r="A13" t="str">
            <v>651.150</v>
          </cell>
          <cell r="B13" t="str">
            <v>Traït moïng tæåìng væîa XM M50 daìy 20</v>
          </cell>
          <cell r="C13" t="str">
            <v>m2</v>
          </cell>
          <cell r="D13">
            <v>25.27</v>
          </cell>
          <cell r="E13">
            <v>0.57999999999999996</v>
          </cell>
          <cell r="F13">
            <v>105.44</v>
          </cell>
          <cell r="H13">
            <v>0.69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 t="str">
            <v>651.310</v>
          </cell>
          <cell r="B14" t="str">
            <v xml:space="preserve">Traït báûc cáúp væîa XM M75 daìy 20 âaïnh maìu </v>
          </cell>
          <cell r="C14" t="str">
            <v>m2</v>
          </cell>
          <cell r="D14">
            <v>38.61</v>
          </cell>
          <cell r="E14">
            <v>0.69</v>
          </cell>
          <cell r="F14">
            <v>177.71</v>
          </cell>
          <cell r="H14">
            <v>0.77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 t="str">
            <v>651.130</v>
          </cell>
          <cell r="B15" t="str">
            <v>Traït bäön hoa væîa XM M75 daìy 15</v>
          </cell>
          <cell r="C15" t="str">
            <v>m2</v>
          </cell>
          <cell r="D15">
            <v>8.1999999999999993</v>
          </cell>
          <cell r="E15">
            <v>0.14000000000000001</v>
          </cell>
          <cell r="F15">
            <v>36.06</v>
          </cell>
          <cell r="H15">
            <v>0.16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 t="str">
            <v>701.110</v>
          </cell>
          <cell r="B16" t="str">
            <v xml:space="preserve">Queït väi moïng tæåìng , bäön hoa 1 tràõng , 2 maìu </v>
          </cell>
          <cell r="C16" t="str">
            <v>m2</v>
          </cell>
          <cell r="D16">
            <v>33.47</v>
          </cell>
          <cell r="E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0.67</v>
          </cell>
          <cell r="S16">
            <v>10.039999999999999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 t="str">
            <v>221.110</v>
          </cell>
          <cell r="B17" t="str">
            <v xml:space="preserve">Bã täng âaï 4x6 M50 nãön nhaì </v>
          </cell>
          <cell r="C17" t="str">
            <v>m3</v>
          </cell>
          <cell r="D17">
            <v>23.44</v>
          </cell>
          <cell r="E17">
            <v>24.03</v>
          </cell>
          <cell r="F17">
            <v>3714</v>
          </cell>
          <cell r="G17">
            <v>10.45</v>
          </cell>
          <cell r="J17">
            <v>17.95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 t="str">
            <v>684.130</v>
          </cell>
          <cell r="B18" t="str">
            <v>Laït gaûch hoa XM væîa XM M50</v>
          </cell>
          <cell r="C18" t="str">
            <v>m2</v>
          </cell>
          <cell r="D18">
            <v>228.52</v>
          </cell>
          <cell r="E18">
            <v>4.8</v>
          </cell>
          <cell r="F18">
            <v>872.64</v>
          </cell>
          <cell r="H18">
            <v>5.69</v>
          </cell>
          <cell r="K18">
            <v>0</v>
          </cell>
          <cell r="L18">
            <v>0</v>
          </cell>
          <cell r="M18">
            <v>0</v>
          </cell>
          <cell r="N18">
            <v>5713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20">
          <cell r="A20">
            <v>0</v>
          </cell>
          <cell r="B20" t="str">
            <v>II. THÁN NHAÌ :</v>
          </cell>
          <cell r="C20">
            <v>0</v>
          </cell>
          <cell r="D20">
            <v>0</v>
          </cell>
          <cell r="F20">
            <v>10941.180000000002</v>
          </cell>
          <cell r="G20">
            <v>4.0500000000000007</v>
          </cell>
          <cell r="H20">
            <v>48.71</v>
          </cell>
          <cell r="I20">
            <v>8.26</v>
          </cell>
          <cell r="J20">
            <v>0</v>
          </cell>
          <cell r="K20">
            <v>0</v>
          </cell>
          <cell r="L20">
            <v>43421.97</v>
          </cell>
          <cell r="M20">
            <v>680.34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27.17</v>
          </cell>
          <cell r="S20">
            <v>426.23</v>
          </cell>
          <cell r="T20">
            <v>34.340000000000003</v>
          </cell>
          <cell r="U20">
            <v>0</v>
          </cell>
          <cell r="V20">
            <v>0</v>
          </cell>
          <cell r="W20">
            <v>0</v>
          </cell>
          <cell r="X20">
            <v>1.21</v>
          </cell>
        </row>
        <row r="21">
          <cell r="A21" t="str">
            <v>205.130</v>
          </cell>
          <cell r="B21" t="str">
            <v>Xáy tæåìng 220 gaûch äúng væîa XM M50 cao &lt;= 4m</v>
          </cell>
          <cell r="C21" t="str">
            <v>m3</v>
          </cell>
          <cell r="D21">
            <v>48.07</v>
          </cell>
          <cell r="E21">
            <v>7.93</v>
          </cell>
          <cell r="F21">
            <v>1441.67</v>
          </cell>
          <cell r="H21">
            <v>9.4</v>
          </cell>
          <cell r="K21">
            <v>0</v>
          </cell>
          <cell r="L21">
            <v>21631.5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0.14000000000000001</v>
          </cell>
        </row>
        <row r="22">
          <cell r="A22" t="str">
            <v>205.140</v>
          </cell>
          <cell r="B22" t="str">
            <v xml:space="preserve">Xáy tæåìng 220 gaûch äúng væîa XM M50 cao &gt; 4m : </v>
          </cell>
          <cell r="C22" t="str">
            <v>m3</v>
          </cell>
          <cell r="D22">
            <v>1.22</v>
          </cell>
          <cell r="E22">
            <v>0.2</v>
          </cell>
          <cell r="F22">
            <v>36.36</v>
          </cell>
          <cell r="H22">
            <v>0.24</v>
          </cell>
          <cell r="K22">
            <v>0</v>
          </cell>
          <cell r="L22">
            <v>549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0.01</v>
          </cell>
        </row>
        <row r="23">
          <cell r="A23" t="str">
            <v>205.110</v>
          </cell>
          <cell r="B23" t="str">
            <v>Xáy tæåìng 110 gaûch äúng væîa XM M50 cao &lt;= 4m</v>
          </cell>
          <cell r="C23" t="str">
            <v>m3</v>
          </cell>
          <cell r="D23">
            <v>41.357100000000003</v>
          </cell>
          <cell r="E23">
            <v>6.2</v>
          </cell>
          <cell r="F23">
            <v>1127.1600000000001</v>
          </cell>
          <cell r="H23">
            <v>7.35</v>
          </cell>
          <cell r="K23">
            <v>0</v>
          </cell>
          <cell r="L23">
            <v>19024.27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0.12</v>
          </cell>
        </row>
        <row r="24">
          <cell r="A24" t="str">
            <v>205.120</v>
          </cell>
          <cell r="B24" t="str">
            <v>Xáy tæåìng 110 gaûch äúng væîa XM M50 cao &gt; 4m</v>
          </cell>
          <cell r="C24" t="str">
            <v>m3</v>
          </cell>
          <cell r="D24">
            <v>4.82</v>
          </cell>
          <cell r="E24">
            <v>0.72</v>
          </cell>
          <cell r="F24">
            <v>130.9</v>
          </cell>
          <cell r="H24">
            <v>0.85</v>
          </cell>
          <cell r="K24">
            <v>0</v>
          </cell>
          <cell r="L24">
            <v>2217.1999999999998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0.05</v>
          </cell>
        </row>
        <row r="25">
          <cell r="A25" t="str">
            <v>651.130</v>
          </cell>
          <cell r="B25" t="str">
            <v>Traït tæåìng gaûch äúng cao &lt;= 4m væîa XM M50 daìy 15</v>
          </cell>
          <cell r="C25" t="str">
            <v>m2</v>
          </cell>
          <cell r="D25">
            <v>1226.18</v>
          </cell>
          <cell r="E25">
            <v>20.85</v>
          </cell>
          <cell r="F25">
            <v>3790.53</v>
          </cell>
          <cell r="H25">
            <v>24.71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  <row r="26">
          <cell r="A26" t="str">
            <v>651.140</v>
          </cell>
          <cell r="B26" t="str">
            <v>Traït tæåìng gaûch äúng cao &gt; 4m væîa XM M50 daìy 15</v>
          </cell>
          <cell r="C26" t="str">
            <v>m2</v>
          </cell>
          <cell r="D26">
            <v>98.64</v>
          </cell>
          <cell r="E26">
            <v>1.68</v>
          </cell>
          <cell r="F26">
            <v>305.42</v>
          </cell>
          <cell r="H26">
            <v>1.99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</row>
        <row r="27">
          <cell r="A27" t="str">
            <v>204.310</v>
          </cell>
          <cell r="B27" t="str">
            <v xml:space="preserve">Xáy äÚp truû væîa XM M75 gaûch âàûc </v>
          </cell>
          <cell r="C27" t="str">
            <v>m3</v>
          </cell>
          <cell r="D27">
            <v>0.87</v>
          </cell>
          <cell r="E27">
            <v>0.27</v>
          </cell>
          <cell r="F27">
            <v>69.540000000000006</v>
          </cell>
          <cell r="H27">
            <v>0.3</v>
          </cell>
          <cell r="K27">
            <v>0</v>
          </cell>
          <cell r="L27">
            <v>0</v>
          </cell>
          <cell r="M27">
            <v>680.34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</row>
        <row r="28">
          <cell r="A28" t="str">
            <v>651.220</v>
          </cell>
          <cell r="B28" t="str">
            <v>Traït truû væîa XM M75 daìy 15</v>
          </cell>
          <cell r="C28" t="str">
            <v>m2</v>
          </cell>
          <cell r="D28">
            <v>7.92</v>
          </cell>
          <cell r="E28">
            <v>0.14000000000000001</v>
          </cell>
          <cell r="F28">
            <v>36.06</v>
          </cell>
          <cell r="H28">
            <v>0.16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</row>
        <row r="29">
          <cell r="A29" t="str">
            <v>651.220</v>
          </cell>
          <cell r="B29" t="str">
            <v>Traït chaình cæía væîa XM M75 daìy 20</v>
          </cell>
          <cell r="C29" t="str">
            <v>m2</v>
          </cell>
          <cell r="D29">
            <v>54.48</v>
          </cell>
          <cell r="E29">
            <v>0.98</v>
          </cell>
          <cell r="F29">
            <v>252.4</v>
          </cell>
          <cell r="H29">
            <v>1.1000000000000001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A30" t="str">
            <v>222.410</v>
          </cell>
          <cell r="B30" t="str">
            <v xml:space="preserve">Bã täng truû M200 âaï 1x2 </v>
          </cell>
          <cell r="C30" t="str">
            <v>m3</v>
          </cell>
          <cell r="D30">
            <v>1.1200000000000001</v>
          </cell>
          <cell r="E30">
            <v>1.1499999999999999</v>
          </cell>
          <cell r="F30">
            <v>373.98</v>
          </cell>
          <cell r="G30">
            <v>0.47</v>
          </cell>
          <cell r="I30">
            <v>0.97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0.15</v>
          </cell>
        </row>
        <row r="31">
          <cell r="A31" t="str">
            <v>300.510</v>
          </cell>
          <cell r="B31" t="str">
            <v xml:space="preserve">Bã täng lanh tä M200 âaï 1x2 </v>
          </cell>
          <cell r="C31" t="str">
            <v>m3</v>
          </cell>
          <cell r="D31">
            <v>2.0500000000000003</v>
          </cell>
          <cell r="E31">
            <v>2.08</v>
          </cell>
          <cell r="F31">
            <v>676.42</v>
          </cell>
          <cell r="G31">
            <v>0.86</v>
          </cell>
          <cell r="I31">
            <v>1.75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0.03</v>
          </cell>
        </row>
        <row r="32">
          <cell r="A32" t="str">
            <v>300.510</v>
          </cell>
          <cell r="B32" t="str">
            <v xml:space="preserve">Bã täng ä vàng M200 âaï 1x2 </v>
          </cell>
          <cell r="C32" t="str">
            <v>m3</v>
          </cell>
          <cell r="D32">
            <v>0.28000000000000003</v>
          </cell>
          <cell r="E32">
            <v>0.28000000000000003</v>
          </cell>
          <cell r="F32">
            <v>91.06</v>
          </cell>
          <cell r="G32">
            <v>0.12</v>
          </cell>
          <cell r="I32">
            <v>0.24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A33" t="str">
            <v>651.320</v>
          </cell>
          <cell r="B33" t="str">
            <v>Traït ä vàng væîa XM M50 daìy 15</v>
          </cell>
          <cell r="C33" t="str">
            <v>m2</v>
          </cell>
          <cell r="D33">
            <v>4.62</v>
          </cell>
          <cell r="E33">
            <v>0.08</v>
          </cell>
          <cell r="F33">
            <v>14.54</v>
          </cell>
          <cell r="H33">
            <v>0.09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A34" t="str">
            <v>672.110</v>
          </cell>
          <cell r="B34" t="str">
            <v>Laïng ä vàng væîa XM M75 daìy 20</v>
          </cell>
          <cell r="C34" t="str">
            <v>m2</v>
          </cell>
          <cell r="D34">
            <v>4.62</v>
          </cell>
          <cell r="E34">
            <v>0.06</v>
          </cell>
          <cell r="F34">
            <v>15.45</v>
          </cell>
          <cell r="H34">
            <v>7.0000000000000007E-2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A35" t="str">
            <v>651.420</v>
          </cell>
          <cell r="B35" t="str">
            <v>Traït chè næåïc ä vàng væîa XM M75</v>
          </cell>
          <cell r="C35" t="str">
            <v>md</v>
          </cell>
          <cell r="D35">
            <v>16.100000000000001</v>
          </cell>
          <cell r="E35">
            <v>7.0000000000000007E-2</v>
          </cell>
          <cell r="F35">
            <v>18.03</v>
          </cell>
          <cell r="H35">
            <v>0.08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A36" t="str">
            <v>651.330</v>
          </cell>
          <cell r="B36" t="str">
            <v xml:space="preserve">Traït häö dáöu vaìo ä vàng </v>
          </cell>
          <cell r="C36" t="str">
            <v>m2</v>
          </cell>
          <cell r="D36">
            <v>9.24</v>
          </cell>
          <cell r="F36">
            <v>10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A37" t="str">
            <v>651.220</v>
          </cell>
          <cell r="B37" t="str">
            <v>Traït truû truûc A væîa XM M75 daìy 15</v>
          </cell>
          <cell r="C37" t="str">
            <v>m2</v>
          </cell>
          <cell r="D37">
            <v>25.76</v>
          </cell>
          <cell r="E37">
            <v>0.46</v>
          </cell>
          <cell r="F37">
            <v>118.47</v>
          </cell>
          <cell r="H37">
            <v>0.51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 t="str">
            <v>224.110</v>
          </cell>
          <cell r="B38" t="str">
            <v xml:space="preserve">Bã täng dáöm M200 âaï 1x2 </v>
          </cell>
          <cell r="C38" t="str">
            <v>m3</v>
          </cell>
          <cell r="D38">
            <v>6.1499999999999995</v>
          </cell>
          <cell r="E38">
            <v>6.3</v>
          </cell>
          <cell r="F38">
            <v>2048.7600000000002</v>
          </cell>
          <cell r="G38">
            <v>2.6</v>
          </cell>
          <cell r="I38">
            <v>5.3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0.71</v>
          </cell>
        </row>
        <row r="39">
          <cell r="A39" t="str">
            <v>651.330</v>
          </cell>
          <cell r="B39" t="str">
            <v>Traït dáöm væîa XM M50 daìy 15</v>
          </cell>
          <cell r="C39" t="str">
            <v>m2</v>
          </cell>
          <cell r="D39">
            <v>87.44</v>
          </cell>
          <cell r="E39">
            <v>1.57</v>
          </cell>
          <cell r="F39">
            <v>285.43</v>
          </cell>
          <cell r="H39">
            <v>1.86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</row>
        <row r="40">
          <cell r="A40" t="str">
            <v>651.330</v>
          </cell>
          <cell r="B40" t="str">
            <v xml:space="preserve">Traït häö dáöu vaìo âáöm bã täng </v>
          </cell>
          <cell r="C40" t="str">
            <v>m2</v>
          </cell>
          <cell r="D40">
            <v>87.44</v>
          </cell>
          <cell r="F40">
            <v>99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A41" t="str">
            <v>701.110</v>
          </cell>
          <cell r="B41" t="str">
            <v xml:space="preserve">Queït väi tæåìng truû 1 tràõng 2 maìu </v>
          </cell>
          <cell r="C41" t="str">
            <v>m2</v>
          </cell>
          <cell r="D41">
            <v>1358.5000000000002</v>
          </cell>
          <cell r="E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27.17</v>
          </cell>
          <cell r="S41">
            <v>407.55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A42" t="str">
            <v>701.130</v>
          </cell>
          <cell r="B42" t="str">
            <v>Queït väi chaình cæía , ä vàng , lanh tä 3 næåïc tràõng</v>
          </cell>
          <cell r="C42" t="str">
            <v>m2</v>
          </cell>
          <cell r="D42">
            <v>59.099999999999994</v>
          </cell>
          <cell r="E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18.68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A43" t="str">
            <v>703.440</v>
          </cell>
          <cell r="B43" t="str">
            <v xml:space="preserve">Sån cæía âi, säø panä, panä kênh 3 næåïc  maìu xaïm </v>
          </cell>
          <cell r="C43" t="str">
            <v>m2</v>
          </cell>
          <cell r="D43">
            <v>113.4</v>
          </cell>
          <cell r="E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25.52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</row>
        <row r="44">
          <cell r="A44" t="str">
            <v>703.440</v>
          </cell>
          <cell r="B44" t="str">
            <v xml:space="preserve">Sån cæía säø sàõt chåïp kênh 3 næåïc maìu xaïm </v>
          </cell>
          <cell r="C44" t="str">
            <v>m2</v>
          </cell>
          <cell r="D44">
            <v>39.200000000000003</v>
          </cell>
          <cell r="E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8.82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A45">
            <v>0</v>
          </cell>
          <cell r="B45" t="str">
            <v>III. TRÁÖN + MAÏI NHAÌ :</v>
          </cell>
          <cell r="C45">
            <v>0</v>
          </cell>
          <cell r="D45">
            <v>0</v>
          </cell>
          <cell r="F45">
            <v>2651.1300000000006</v>
          </cell>
          <cell r="G45">
            <v>2.1</v>
          </cell>
          <cell r="H45">
            <v>4.4899999999999993</v>
          </cell>
          <cell r="I45">
            <v>4.2600000000000007</v>
          </cell>
          <cell r="J45">
            <v>0</v>
          </cell>
          <cell r="K45">
            <v>0</v>
          </cell>
          <cell r="L45">
            <v>0</v>
          </cell>
          <cell r="M45">
            <v>713.4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0.53</v>
          </cell>
          <cell r="S45">
            <v>33.880000000000003</v>
          </cell>
          <cell r="T45">
            <v>51.07</v>
          </cell>
          <cell r="U45">
            <v>6.6899999999999995</v>
          </cell>
          <cell r="V45">
            <v>355.45</v>
          </cell>
          <cell r="W45">
            <v>175.56</v>
          </cell>
          <cell r="X45">
            <v>0.5</v>
          </cell>
        </row>
        <row r="46">
          <cell r="A46" t="str">
            <v>225.110</v>
          </cell>
          <cell r="B46" t="str">
            <v xml:space="preserve">Bã täng saìn maïi M200 âaï 1x2 </v>
          </cell>
          <cell r="C46" t="str">
            <v>m3</v>
          </cell>
          <cell r="D46">
            <v>3.71</v>
          </cell>
          <cell r="E46">
            <v>3.8</v>
          </cell>
          <cell r="F46">
            <v>1235.76</v>
          </cell>
          <cell r="G46">
            <v>1.57</v>
          </cell>
          <cell r="I46">
            <v>3.2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0.37</v>
          </cell>
        </row>
        <row r="47">
          <cell r="A47" t="str">
            <v>225.210</v>
          </cell>
          <cell r="B47" t="str">
            <v xml:space="preserve">Bã täng sã nä M200 âaï 1x2 </v>
          </cell>
          <cell r="C47" t="str">
            <v>m3</v>
          </cell>
          <cell r="D47">
            <v>0.77</v>
          </cell>
          <cell r="E47">
            <v>0.79</v>
          </cell>
          <cell r="F47">
            <v>256.91000000000003</v>
          </cell>
          <cell r="G47">
            <v>0.33</v>
          </cell>
          <cell r="I47">
            <v>0.66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0.08</v>
          </cell>
        </row>
        <row r="48">
          <cell r="A48" t="str">
            <v>651.320</v>
          </cell>
          <cell r="B48" t="str">
            <v>Traït saìn maïi sã nä væîa XM M50 daìy 15</v>
          </cell>
          <cell r="C48" t="str">
            <v>m2</v>
          </cell>
          <cell r="D48">
            <v>52.94</v>
          </cell>
          <cell r="E48">
            <v>0.95</v>
          </cell>
          <cell r="F48">
            <v>172.71</v>
          </cell>
          <cell r="H48">
            <v>1.1299999999999999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A49" t="str">
            <v>671.140</v>
          </cell>
          <cell r="B49" t="str">
            <v>Laïng saìn maïi væîa XM M75 daìy 30</v>
          </cell>
          <cell r="C49" t="str">
            <v>m2</v>
          </cell>
          <cell r="D49">
            <v>49.96</v>
          </cell>
          <cell r="E49">
            <v>1.75</v>
          </cell>
          <cell r="F49">
            <v>450.71</v>
          </cell>
          <cell r="H49">
            <v>1.96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A50" t="str">
            <v>651.330</v>
          </cell>
          <cell r="B50" t="str">
            <v xml:space="preserve">Ngám næåïc XM chäúng tháúm saìn </v>
          </cell>
          <cell r="C50" t="str">
            <v>m2</v>
          </cell>
          <cell r="D50">
            <v>49.96</v>
          </cell>
          <cell r="F50">
            <v>57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A51" t="str">
            <v>651.510</v>
          </cell>
          <cell r="B51" t="str">
            <v>Traït thaình sã nä væîa XM M75 trong vaì ngoaìi  daìy 15</v>
          </cell>
          <cell r="C51" t="str">
            <v>m2</v>
          </cell>
          <cell r="D51">
            <v>26.72</v>
          </cell>
          <cell r="E51">
            <v>0.32</v>
          </cell>
          <cell r="F51">
            <v>82.42</v>
          </cell>
          <cell r="H51">
            <v>0.36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A52" t="str">
            <v>225.210</v>
          </cell>
          <cell r="B52" t="str">
            <v xml:space="preserve">Bã täng lam ngang M200 âaï 1x2 </v>
          </cell>
          <cell r="C52" t="str">
            <v>m3</v>
          </cell>
          <cell r="D52">
            <v>0.47</v>
          </cell>
          <cell r="E52">
            <v>0.48</v>
          </cell>
          <cell r="F52">
            <v>156.1</v>
          </cell>
          <cell r="G52">
            <v>0.2</v>
          </cell>
          <cell r="I52">
            <v>0.4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0.05</v>
          </cell>
        </row>
        <row r="53">
          <cell r="A53" t="str">
            <v>651.310</v>
          </cell>
          <cell r="B53" t="str">
            <v>Traït lam ngang væîa XM M75 daìy 15</v>
          </cell>
          <cell r="C53" t="str">
            <v>m2</v>
          </cell>
          <cell r="D53">
            <v>17.64</v>
          </cell>
          <cell r="E53">
            <v>0.32</v>
          </cell>
          <cell r="F53">
            <v>82.42</v>
          </cell>
          <cell r="H53">
            <v>0.36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A54" t="str">
            <v>701.130</v>
          </cell>
          <cell r="B54" t="str">
            <v xml:space="preserve">Queït väi lam ngang , tráön 3 næåïc tràõng </v>
          </cell>
          <cell r="C54" t="str">
            <v>m2</v>
          </cell>
          <cell r="D54">
            <v>70.58</v>
          </cell>
          <cell r="E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22.3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A55" t="str">
            <v>701.120</v>
          </cell>
          <cell r="B55" t="str">
            <v xml:space="preserve">Queït väi sã nä 1 tràõng , 2 maìu </v>
          </cell>
          <cell r="C55" t="str">
            <v>m2</v>
          </cell>
          <cell r="D55">
            <v>26.72</v>
          </cell>
          <cell r="E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0.53</v>
          </cell>
          <cell r="S55">
            <v>8.02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 t="str">
            <v>694.110</v>
          </cell>
          <cell r="B56" t="str">
            <v xml:space="preserve">Gia cäng âoïng tráön vaïn eïp </v>
          </cell>
          <cell r="C56" t="str">
            <v>m2</v>
          </cell>
          <cell r="D56">
            <v>159.6</v>
          </cell>
          <cell r="E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3.19</v>
          </cell>
          <cell r="V56">
            <v>0</v>
          </cell>
          <cell r="W56">
            <v>175.56</v>
          </cell>
          <cell r="X56">
            <v>0</v>
          </cell>
        </row>
        <row r="57">
          <cell r="A57" t="str">
            <v>703.220</v>
          </cell>
          <cell r="B57" t="str">
            <v xml:space="preserve">Sån tráön vaïn eïp 3 næåïc tràõng </v>
          </cell>
          <cell r="C57" t="str">
            <v>m2</v>
          </cell>
          <cell r="D57">
            <v>159.6</v>
          </cell>
          <cell r="E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51.07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A58" t="str">
            <v>401.420</v>
          </cell>
          <cell r="B58" t="str">
            <v>Gia cäng xaì gäö gäù maïi nhaì ( gäù nhoïm 3 )</v>
          </cell>
          <cell r="C58" t="str">
            <v>m3</v>
          </cell>
          <cell r="D58">
            <v>3.18</v>
          </cell>
          <cell r="E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3.5</v>
          </cell>
          <cell r="V58">
            <v>0</v>
          </cell>
          <cell r="W58">
            <v>0</v>
          </cell>
          <cell r="X58">
            <v>0</v>
          </cell>
        </row>
        <row r="59">
          <cell r="A59" t="str">
            <v>605.210</v>
          </cell>
          <cell r="B59" t="str">
            <v xml:space="preserve">Låüp tän traïng keîm maïi nhaì </v>
          </cell>
          <cell r="C59" t="str">
            <v>m2</v>
          </cell>
          <cell r="D59">
            <v>269.27999999999997</v>
          </cell>
          <cell r="E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355.45</v>
          </cell>
          <cell r="W59">
            <v>0</v>
          </cell>
          <cell r="X59">
            <v>0</v>
          </cell>
        </row>
        <row r="60">
          <cell r="A60" t="str">
            <v>204.420</v>
          </cell>
          <cell r="B60" t="str">
            <v>Xáy båì chaíy gaûch âàûc væîa XM M75</v>
          </cell>
          <cell r="C60" t="str">
            <v>m3</v>
          </cell>
          <cell r="D60">
            <v>0.87</v>
          </cell>
          <cell r="E60">
            <v>0.26</v>
          </cell>
          <cell r="F60">
            <v>66.959999999999994</v>
          </cell>
          <cell r="H60">
            <v>0.28999999999999998</v>
          </cell>
          <cell r="M60">
            <v>713.4</v>
          </cell>
        </row>
        <row r="61">
          <cell r="A61" t="str">
            <v>651.140</v>
          </cell>
          <cell r="B61" t="str">
            <v>Traït båì chaíy væîa XM M75 daìy 15</v>
          </cell>
          <cell r="C61" t="str">
            <v>m2</v>
          </cell>
          <cell r="D61">
            <v>11.88</v>
          </cell>
          <cell r="E61">
            <v>0.2</v>
          </cell>
          <cell r="F61">
            <v>51.51</v>
          </cell>
          <cell r="H61">
            <v>0.22</v>
          </cell>
        </row>
        <row r="62">
          <cell r="A62" t="str">
            <v>701.120</v>
          </cell>
          <cell r="B62" t="str">
            <v>Queït väi båì chaíy 3 næåïc tràõng</v>
          </cell>
          <cell r="C62" t="str">
            <v>m2</v>
          </cell>
          <cell r="D62">
            <v>11.88</v>
          </cell>
          <cell r="E62">
            <v>0</v>
          </cell>
          <cell r="F62">
            <v>0</v>
          </cell>
          <cell r="H62">
            <v>0</v>
          </cell>
          <cell r="S62">
            <v>3.56</v>
          </cell>
        </row>
        <row r="63">
          <cell r="A63" t="str">
            <v>651.420</v>
          </cell>
          <cell r="B63" t="str">
            <v>Traït chè næåïc sã nä</v>
          </cell>
          <cell r="C63" t="str">
            <v>m</v>
          </cell>
          <cell r="D63">
            <v>33.200000000000003</v>
          </cell>
          <cell r="E63">
            <v>0.15</v>
          </cell>
          <cell r="F63">
            <v>38.630000000000003</v>
          </cell>
          <cell r="H63">
            <v>0.17</v>
          </cell>
        </row>
        <row r="64">
          <cell r="A64">
            <v>0</v>
          </cell>
          <cell r="B64" t="str">
            <v>IV. KHU VÃÛ SINH - BÃØ TÆÛ HOAÛI - BÃÚP - HÄÚ GA :</v>
          </cell>
          <cell r="C64">
            <v>0</v>
          </cell>
          <cell r="D64">
            <v>0</v>
          </cell>
          <cell r="F64">
            <v>3304.2599999999998</v>
          </cell>
          <cell r="G64">
            <v>2.27</v>
          </cell>
          <cell r="H64">
            <v>9.629999999999999</v>
          </cell>
          <cell r="I64">
            <v>1.67</v>
          </cell>
          <cell r="J64">
            <v>2.68</v>
          </cell>
          <cell r="K64">
            <v>0</v>
          </cell>
          <cell r="L64">
            <v>0</v>
          </cell>
          <cell r="M64">
            <v>10479.6</v>
          </cell>
          <cell r="N64">
            <v>0</v>
          </cell>
          <cell r="O64">
            <v>13.51</v>
          </cell>
          <cell r="P64">
            <v>5664.75</v>
          </cell>
          <cell r="Q64">
            <v>50.769999999999996</v>
          </cell>
          <cell r="R64">
            <v>0.27</v>
          </cell>
          <cell r="S64">
            <v>4.12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6.0000000000000005E-2</v>
          </cell>
        </row>
        <row r="65">
          <cell r="A65">
            <v>0</v>
          </cell>
          <cell r="B65" t="str">
            <v>a, Khu vãû sinh :</v>
          </cell>
          <cell r="C65">
            <v>0</v>
          </cell>
          <cell r="D65">
            <v>0</v>
          </cell>
        </row>
        <row r="66">
          <cell r="A66" t="str">
            <v>204.410</v>
          </cell>
          <cell r="B66" t="str">
            <v xml:space="preserve">Xáy thaình bãø næåïc khu vãû sinh daìy 110 væîa XM M75 </v>
          </cell>
          <cell r="C66" t="str">
            <v>m3</v>
          </cell>
          <cell r="D66">
            <v>0.65</v>
          </cell>
          <cell r="E66">
            <v>0.2</v>
          </cell>
          <cell r="F66">
            <v>51.51</v>
          </cell>
          <cell r="H66">
            <v>0.22</v>
          </cell>
          <cell r="K66">
            <v>0</v>
          </cell>
          <cell r="L66">
            <v>0</v>
          </cell>
          <cell r="M66">
            <v>533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A67" t="str">
            <v>651.510</v>
          </cell>
          <cell r="B67" t="str">
            <v>Traït thaình bãø næåïc væîa XM M75 daìy 20</v>
          </cell>
          <cell r="C67" t="str">
            <v>m2</v>
          </cell>
          <cell r="D67">
            <v>7.35</v>
          </cell>
          <cell r="E67">
            <v>0.09</v>
          </cell>
          <cell r="F67">
            <v>23.18</v>
          </cell>
          <cell r="H67">
            <v>0.1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A68" t="str">
            <v>672.120</v>
          </cell>
          <cell r="B68" t="str">
            <v xml:space="preserve">Laïng bãø næåïc , xê xäøm væîa XM M75 daìy 30 âaïnh maìu </v>
          </cell>
          <cell r="C68" t="str">
            <v>m2</v>
          </cell>
          <cell r="D68">
            <v>8.19</v>
          </cell>
          <cell r="E68">
            <v>0.18</v>
          </cell>
          <cell r="F68">
            <v>46.36</v>
          </cell>
          <cell r="H68">
            <v>0.2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A69" t="str">
            <v>651.330</v>
          </cell>
          <cell r="B69" t="str">
            <v xml:space="preserve">Âaïnh maìu thaình bãø næåïc bàòng xi màng nguyãn cháút </v>
          </cell>
          <cell r="C69" t="str">
            <v>m2</v>
          </cell>
          <cell r="D69">
            <v>7.35</v>
          </cell>
          <cell r="F69">
            <v>8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</row>
        <row r="70">
          <cell r="A70" t="str">
            <v>685.130</v>
          </cell>
          <cell r="B70" t="str">
            <v>ÄÚp gaûch men Trung Quäúc loaûi 11x11 khu vãû sinh</v>
          </cell>
          <cell r="C70" t="str">
            <v>m2</v>
          </cell>
          <cell r="D70">
            <v>68.25</v>
          </cell>
          <cell r="E70">
            <v>1.43</v>
          </cell>
          <cell r="F70">
            <v>259.97000000000003</v>
          </cell>
          <cell r="H70">
            <v>1.69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5664.75</v>
          </cell>
          <cell r="Q70">
            <v>23.89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A71" t="str">
            <v>686.110</v>
          </cell>
          <cell r="B71" t="str">
            <v>Laït gaûch vé khu vãû sinh 300x300</v>
          </cell>
          <cell r="C71" t="str">
            <v>m2</v>
          </cell>
          <cell r="D71">
            <v>13.44</v>
          </cell>
          <cell r="E71">
            <v>0.21</v>
          </cell>
          <cell r="F71">
            <v>38.18</v>
          </cell>
          <cell r="H71">
            <v>0.25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13.51</v>
          </cell>
          <cell r="P71">
            <v>0</v>
          </cell>
          <cell r="Q71">
            <v>26.88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0</v>
          </cell>
          <cell r="B72" t="str">
            <v xml:space="preserve">b, Bãø tæû hoaûi : </v>
          </cell>
          <cell r="C72">
            <v>0</v>
          </cell>
          <cell r="D72">
            <v>0</v>
          </cell>
        </row>
        <row r="73">
          <cell r="A73" t="str">
            <v>221.110</v>
          </cell>
          <cell r="B73" t="str">
            <v xml:space="preserve">Bã täng loït âaï 4x6 M100 bãø tæû hoaûi </v>
          </cell>
          <cell r="C73" t="str">
            <v>m3</v>
          </cell>
          <cell r="D73">
            <v>2.38</v>
          </cell>
          <cell r="E73">
            <v>2.44</v>
          </cell>
          <cell r="F73">
            <v>490</v>
          </cell>
          <cell r="G73">
            <v>1.2</v>
          </cell>
          <cell r="J73">
            <v>2.25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A74" t="str">
            <v>204.410</v>
          </cell>
          <cell r="B74" t="str">
            <v xml:space="preserve">Xáy tæåìng häú ga væîa XM M75 gaûch âàûc </v>
          </cell>
          <cell r="C74" t="str">
            <v>m3</v>
          </cell>
          <cell r="D74">
            <v>10.3</v>
          </cell>
          <cell r="E74">
            <v>3.09</v>
          </cell>
          <cell r="F74">
            <v>795.83</v>
          </cell>
          <cell r="H74">
            <v>3.45</v>
          </cell>
          <cell r="K74">
            <v>0</v>
          </cell>
          <cell r="L74">
            <v>0</v>
          </cell>
          <cell r="M74">
            <v>8446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0.03</v>
          </cell>
        </row>
        <row r="75">
          <cell r="A75" t="str">
            <v>651.150</v>
          </cell>
          <cell r="B75" t="str">
            <v>Traït thaình trong bãø tæû hoaûi væîa XM M75 daìy 20</v>
          </cell>
          <cell r="C75" t="str">
            <v>m2</v>
          </cell>
          <cell r="D75">
            <v>65.099999999999994</v>
          </cell>
          <cell r="E75">
            <v>1.5</v>
          </cell>
          <cell r="F75">
            <v>386.33</v>
          </cell>
          <cell r="H75">
            <v>1.68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A76" t="str">
            <v>651.330</v>
          </cell>
          <cell r="B76" t="str">
            <v xml:space="preserve">Âaïnh maìu bàòng XM nguyãn cháút bãø tæû hoaûi </v>
          </cell>
          <cell r="C76" t="str">
            <v>m2</v>
          </cell>
          <cell r="D76">
            <v>65.099999999999994</v>
          </cell>
          <cell r="F76">
            <v>74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A77" t="str">
            <v>671.110</v>
          </cell>
          <cell r="B77" t="str">
            <v xml:space="preserve">Laïng âaïy bãø væîa XM M75 daìy 20 âaïnh maìu </v>
          </cell>
          <cell r="C77" t="str">
            <v>m2</v>
          </cell>
          <cell r="D77">
            <v>8.64</v>
          </cell>
          <cell r="E77">
            <v>0.22</v>
          </cell>
          <cell r="F77">
            <v>56.66</v>
          </cell>
          <cell r="H77">
            <v>0.25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A78" t="str">
            <v>651.130</v>
          </cell>
          <cell r="B78" t="str">
            <v>Traït thaình ngoaìi bãø tæû hoaûi væîa XM M50 daìy 15</v>
          </cell>
          <cell r="C78" t="str">
            <v>m2</v>
          </cell>
          <cell r="D78">
            <v>15.08</v>
          </cell>
          <cell r="E78">
            <v>0.26</v>
          </cell>
          <cell r="F78">
            <v>47.27</v>
          </cell>
          <cell r="H78">
            <v>0.31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A79" t="str">
            <v>300.510</v>
          </cell>
          <cell r="B79" t="str">
            <v xml:space="preserve">Bã täng táúm âan M200 âaï 1x2 âuïc sàôn </v>
          </cell>
          <cell r="C79" t="str">
            <v>m3</v>
          </cell>
          <cell r="D79">
            <v>1.38</v>
          </cell>
          <cell r="E79">
            <v>1.4</v>
          </cell>
          <cell r="F79">
            <v>455.28</v>
          </cell>
          <cell r="G79">
            <v>0.57999999999999996</v>
          </cell>
          <cell r="I79">
            <v>1.18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0.02</v>
          </cell>
        </row>
        <row r="80">
          <cell r="A80">
            <v>0</v>
          </cell>
          <cell r="B80" t="str">
            <v xml:space="preserve">c, Bãúp : </v>
          </cell>
          <cell r="C80">
            <v>0</v>
          </cell>
          <cell r="D80">
            <v>0</v>
          </cell>
        </row>
        <row r="81">
          <cell r="A81" t="str">
            <v>204.410</v>
          </cell>
          <cell r="B81" t="str">
            <v xml:space="preserve">Xáy tæåìng 110 væîa XM M50 gaûch âàûc </v>
          </cell>
          <cell r="C81" t="str">
            <v>m3</v>
          </cell>
          <cell r="D81">
            <v>0.75</v>
          </cell>
          <cell r="E81">
            <v>0.23</v>
          </cell>
          <cell r="F81">
            <v>41.81</v>
          </cell>
          <cell r="H81">
            <v>0.27</v>
          </cell>
          <cell r="K81">
            <v>0</v>
          </cell>
          <cell r="L81">
            <v>0</v>
          </cell>
          <cell r="M81">
            <v>615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A82" t="str">
            <v>651.130</v>
          </cell>
          <cell r="B82" t="str">
            <v xml:space="preserve">Traït tæåìng væîa XM M75 bãû bãúp </v>
          </cell>
          <cell r="C82" t="str">
            <v>m2</v>
          </cell>
          <cell r="D82">
            <v>13.72</v>
          </cell>
          <cell r="E82">
            <v>0.23</v>
          </cell>
          <cell r="F82">
            <v>59.24</v>
          </cell>
          <cell r="H82">
            <v>0.26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A83" t="str">
            <v>701.110</v>
          </cell>
          <cell r="B83" t="str">
            <v xml:space="preserve">Queït väi thaình bãû bãúp 1 tràõng 2 maìu </v>
          </cell>
          <cell r="C83" t="str">
            <v>m2</v>
          </cell>
          <cell r="D83">
            <v>13.72</v>
          </cell>
          <cell r="E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0.27</v>
          </cell>
          <cell r="S83">
            <v>4.12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 t="str">
            <v>300.510</v>
          </cell>
          <cell r="B84" t="str">
            <v xml:space="preserve">Bã täng táúm âan bãû bãúp </v>
          </cell>
          <cell r="C84" t="str">
            <v>m3</v>
          </cell>
          <cell r="D84">
            <v>0.34</v>
          </cell>
          <cell r="E84">
            <v>0.35</v>
          </cell>
          <cell r="F84">
            <v>113.82</v>
          </cell>
          <cell r="G84">
            <v>0.14000000000000001</v>
          </cell>
          <cell r="I84">
            <v>0.28999999999999998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0.01</v>
          </cell>
        </row>
        <row r="85">
          <cell r="A85" t="str">
            <v>651.320</v>
          </cell>
          <cell r="B85" t="str">
            <v>Traït thaình dæåïi vaì trãn bãû bãúp væîa XM M75 daìy 15</v>
          </cell>
          <cell r="C85" t="str">
            <v>m2</v>
          </cell>
          <cell r="D85">
            <v>9.8000000000000007</v>
          </cell>
          <cell r="E85">
            <v>0.18</v>
          </cell>
          <cell r="F85">
            <v>46.36</v>
          </cell>
          <cell r="H85">
            <v>0.2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A86" t="str">
            <v>651.330</v>
          </cell>
          <cell r="B86" t="str">
            <v xml:space="preserve">Âaïnh maìu màût trãn bãû bãúp </v>
          </cell>
          <cell r="C86" t="str">
            <v>m2</v>
          </cell>
          <cell r="D86">
            <v>4.9000000000000004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</row>
        <row r="87">
          <cell r="A87">
            <v>0</v>
          </cell>
          <cell r="B87" t="str">
            <v>d, Häú ga :</v>
          </cell>
          <cell r="C87">
            <v>0</v>
          </cell>
          <cell r="D87">
            <v>0</v>
          </cell>
        </row>
        <row r="88">
          <cell r="A88" t="str">
            <v>221.110</v>
          </cell>
          <cell r="B88" t="str">
            <v>Bã täng loït âaï 4x6 M50</v>
          </cell>
          <cell r="C88" t="str">
            <v>m3</v>
          </cell>
          <cell r="D88">
            <v>0.56999999999999995</v>
          </cell>
          <cell r="E88">
            <v>0.57999999999999996</v>
          </cell>
          <cell r="F88">
            <v>90</v>
          </cell>
          <cell r="G88">
            <v>0.25</v>
          </cell>
          <cell r="J88">
            <v>0.43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A89" t="str">
            <v>204.410</v>
          </cell>
          <cell r="B89" t="str">
            <v>Xáy tæåìng 110 häú ga væîa XM M75</v>
          </cell>
          <cell r="C89" t="str">
            <v>m3</v>
          </cell>
          <cell r="D89">
            <v>1.08</v>
          </cell>
          <cell r="E89">
            <v>0.32</v>
          </cell>
          <cell r="F89">
            <v>82.42</v>
          </cell>
          <cell r="H89">
            <v>0.36</v>
          </cell>
          <cell r="K89">
            <v>0</v>
          </cell>
          <cell r="L89">
            <v>0</v>
          </cell>
          <cell r="M89">
            <v>885.6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A90" t="str">
            <v>651.130</v>
          </cell>
          <cell r="B90" t="str">
            <v>Traït thaình trong vaì ngoaìi häú ga væîa XM M50 daìy 15</v>
          </cell>
          <cell r="C90" t="str">
            <v>m2</v>
          </cell>
          <cell r="D90">
            <v>19.600000000000001</v>
          </cell>
          <cell r="E90">
            <v>0.33</v>
          </cell>
          <cell r="F90">
            <v>59.99</v>
          </cell>
          <cell r="H90">
            <v>0.39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A91" t="str">
            <v>300.510</v>
          </cell>
          <cell r="B91" t="str">
            <v xml:space="preserve">Bã täng táúm âan M200 âaï 1x2 </v>
          </cell>
          <cell r="C91" t="str">
            <v>m3</v>
          </cell>
          <cell r="D91">
            <v>0.24</v>
          </cell>
          <cell r="E91">
            <v>0.24</v>
          </cell>
          <cell r="F91">
            <v>78.05</v>
          </cell>
          <cell r="G91">
            <v>0.1</v>
          </cell>
          <cell r="I91">
            <v>0.2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</row>
        <row r="92">
          <cell r="A92">
            <v>0</v>
          </cell>
          <cell r="B92" t="str">
            <v xml:space="preserve">V. THAÏP NÆÅÏC </v>
          </cell>
          <cell r="C92">
            <v>0</v>
          </cell>
          <cell r="D92">
            <v>0</v>
          </cell>
          <cell r="F92">
            <v>3249.1</v>
          </cell>
          <cell r="G92">
            <v>3.69</v>
          </cell>
          <cell r="H92">
            <v>2.11</v>
          </cell>
          <cell r="I92">
            <v>6.3500000000000005</v>
          </cell>
          <cell r="J92">
            <v>1.1000000000000001</v>
          </cell>
          <cell r="K92">
            <v>0</v>
          </cell>
          <cell r="L92">
            <v>0</v>
          </cell>
          <cell r="M92">
            <v>1385.8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0.83</v>
          </cell>
          <cell r="S92">
            <v>12.49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0.8600000000000001</v>
          </cell>
        </row>
        <row r="93">
          <cell r="A93" t="str">
            <v>221.110</v>
          </cell>
          <cell r="B93" t="str">
            <v>Bã täng loït moïng âaï 4x6 M100</v>
          </cell>
          <cell r="C93" t="str">
            <v>m3</v>
          </cell>
          <cell r="D93">
            <v>1.1599999999999999</v>
          </cell>
          <cell r="E93">
            <v>1.19</v>
          </cell>
          <cell r="F93">
            <v>239</v>
          </cell>
          <cell r="G93">
            <v>0.57999999999999996</v>
          </cell>
          <cell r="J93">
            <v>1.1000000000000001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A94" t="str">
            <v>221.340</v>
          </cell>
          <cell r="B94" t="str">
            <v>Bã täng moïng cäüt M200 âaï 1x2</v>
          </cell>
          <cell r="C94" t="str">
            <v>m3</v>
          </cell>
          <cell r="D94">
            <v>4.29</v>
          </cell>
          <cell r="E94">
            <v>4.4000000000000004</v>
          </cell>
          <cell r="F94">
            <v>1430.88</v>
          </cell>
          <cell r="G94">
            <v>1.81</v>
          </cell>
          <cell r="I94">
            <v>3.7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7.0000000000000007E-2</v>
          </cell>
        </row>
        <row r="95">
          <cell r="A95" t="str">
            <v>226.210</v>
          </cell>
          <cell r="B95" t="str">
            <v xml:space="preserve">Bã täng thaïp næåïc M200 âaï 1x2 </v>
          </cell>
          <cell r="C95" t="str">
            <v>m3</v>
          </cell>
          <cell r="D95">
            <v>2.73</v>
          </cell>
          <cell r="E95">
            <v>2.8</v>
          </cell>
          <cell r="F95">
            <v>910.56</v>
          </cell>
          <cell r="G95">
            <v>1.1499999999999999</v>
          </cell>
          <cell r="I95">
            <v>2.35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0.76</v>
          </cell>
        </row>
        <row r="96">
          <cell r="A96" t="str">
            <v>204.420</v>
          </cell>
          <cell r="B96" t="str">
            <v>Xáy thaình thaïp næåïc gaûch âàûc væîa XM M75 daìy 20</v>
          </cell>
          <cell r="C96" t="str">
            <v>m3</v>
          </cell>
          <cell r="D96">
            <v>1.69</v>
          </cell>
          <cell r="E96">
            <v>0.51</v>
          </cell>
          <cell r="F96">
            <v>131.35</v>
          </cell>
          <cell r="H96">
            <v>0.56999999999999995</v>
          </cell>
          <cell r="K96">
            <v>0</v>
          </cell>
          <cell r="L96">
            <v>0</v>
          </cell>
          <cell r="M96">
            <v>1385.8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0.02</v>
          </cell>
        </row>
        <row r="97">
          <cell r="A97" t="str">
            <v>300.510</v>
          </cell>
          <cell r="B97" t="str">
            <v xml:space="preserve">Bã täng táúm âan âáûy bãø M200 âaï 1x2 </v>
          </cell>
          <cell r="C97" t="str">
            <v>m3</v>
          </cell>
          <cell r="D97">
            <v>0.35</v>
          </cell>
          <cell r="E97">
            <v>0.36</v>
          </cell>
          <cell r="F97">
            <v>117.07</v>
          </cell>
          <cell r="G97">
            <v>0.15</v>
          </cell>
          <cell r="I97">
            <v>0.3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0.01</v>
          </cell>
        </row>
        <row r="98">
          <cell r="A98" t="str">
            <v>651.140</v>
          </cell>
          <cell r="B98" t="str">
            <v>Traït thaình trong bãø næåïc 2 låïp væîa XM M75</v>
          </cell>
          <cell r="C98" t="str">
            <v>m2</v>
          </cell>
          <cell r="D98">
            <v>21.83</v>
          </cell>
          <cell r="E98">
            <v>0.37</v>
          </cell>
          <cell r="F98">
            <v>95.29</v>
          </cell>
          <cell r="H98">
            <v>0.41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A99" t="str">
            <v>651.330</v>
          </cell>
          <cell r="B99" t="str">
            <v xml:space="preserve">Âaïnh maìu bàòng XM nguyãn cháút thaình bãø </v>
          </cell>
          <cell r="C99" t="str">
            <v>m2</v>
          </cell>
          <cell r="D99">
            <v>21.83</v>
          </cell>
          <cell r="F99">
            <v>25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A100" t="str">
            <v>672.120</v>
          </cell>
          <cell r="B100" t="str">
            <v xml:space="preserve">Laïng âaïy bãø væîa XM M75 daìy 20 âaïnh maìu </v>
          </cell>
          <cell r="C100" t="str">
            <v>m2</v>
          </cell>
          <cell r="D100">
            <v>5.76</v>
          </cell>
          <cell r="E100">
            <v>0.13</v>
          </cell>
          <cell r="F100">
            <v>33.479999999999997</v>
          </cell>
          <cell r="H100">
            <v>0.15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A101" t="str">
            <v>651.220</v>
          </cell>
          <cell r="B101" t="str">
            <v>Traït cäüt thaïp næåïc væîa XM M75 daìy 15</v>
          </cell>
          <cell r="C101" t="str">
            <v>m2</v>
          </cell>
          <cell r="D101">
            <v>12.8</v>
          </cell>
          <cell r="E101">
            <v>0.23</v>
          </cell>
          <cell r="F101">
            <v>59.24</v>
          </cell>
          <cell r="H101">
            <v>0.26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 t="str">
            <v>651.310</v>
          </cell>
          <cell r="B102" t="str">
            <v>Traït dáöm væîa XM M75 daìy 15 : Dáöm DB1</v>
          </cell>
          <cell r="C102" t="str">
            <v>m2</v>
          </cell>
          <cell r="D102">
            <v>9.6</v>
          </cell>
          <cell r="E102">
            <v>0.17</v>
          </cell>
          <cell r="F102">
            <v>43.78</v>
          </cell>
          <cell r="H102">
            <v>0.19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A103" t="str">
            <v>651.320</v>
          </cell>
          <cell r="B103" t="str">
            <v>Traït âaïy bãø væîa XM M75 daìy 15</v>
          </cell>
          <cell r="C103" t="str">
            <v>m2</v>
          </cell>
          <cell r="D103">
            <v>6.76</v>
          </cell>
          <cell r="E103">
            <v>0.12</v>
          </cell>
          <cell r="F103">
            <v>30.91</v>
          </cell>
          <cell r="H103">
            <v>0.13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A104" t="str">
            <v>651.140</v>
          </cell>
          <cell r="B104" t="str">
            <v>Traït thaình ngoaìi bãø væîa XM M75 daìy 15</v>
          </cell>
          <cell r="C104" t="str">
            <v>m2</v>
          </cell>
          <cell r="D104">
            <v>12.48</v>
          </cell>
          <cell r="E104">
            <v>0.21</v>
          </cell>
          <cell r="F104">
            <v>54.09</v>
          </cell>
          <cell r="H104">
            <v>0.23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A105" t="str">
            <v>651.510</v>
          </cell>
          <cell r="B105" t="str">
            <v>Traït âan væîa XM M50 daìy 15</v>
          </cell>
          <cell r="C105" t="str">
            <v>m2</v>
          </cell>
          <cell r="D105">
            <v>11.52</v>
          </cell>
          <cell r="E105">
            <v>0.14000000000000001</v>
          </cell>
          <cell r="F105">
            <v>25.45</v>
          </cell>
          <cell r="H105">
            <v>0.17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A106" t="str">
            <v>651.330</v>
          </cell>
          <cell r="B106" t="str">
            <v xml:space="preserve">Traït XM nguyãn cháút vaìo cáúu kiãûn bã täng </v>
          </cell>
          <cell r="C106" t="str">
            <v>m2</v>
          </cell>
          <cell r="D106">
            <v>46.44</v>
          </cell>
          <cell r="F106">
            <v>53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A107" t="str">
            <v>701.110</v>
          </cell>
          <cell r="B107" t="str">
            <v xml:space="preserve">Queït väi bãø næåïc 1 tràõng 2 maìu </v>
          </cell>
          <cell r="C107" t="str">
            <v>m2</v>
          </cell>
          <cell r="D107">
            <v>41.64</v>
          </cell>
          <cell r="E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0.83</v>
          </cell>
          <cell r="S107">
            <v>12.49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A108">
            <v>0</v>
          </cell>
          <cell r="B108" t="str">
            <v xml:space="preserve">VIII. HAÌNG RAÌO - CÄØNG NGOÎ </v>
          </cell>
          <cell r="C108">
            <v>0</v>
          </cell>
          <cell r="D108">
            <v>0</v>
          </cell>
          <cell r="F108">
            <v>1569.02</v>
          </cell>
          <cell r="G108">
            <v>1.3599999999999999</v>
          </cell>
          <cell r="H108">
            <v>4.63</v>
          </cell>
          <cell r="I108">
            <v>1.51</v>
          </cell>
          <cell r="J108">
            <v>1.06</v>
          </cell>
          <cell r="K108">
            <v>5.28</v>
          </cell>
          <cell r="L108">
            <v>0</v>
          </cell>
          <cell r="M108">
            <v>2314.7200000000003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1.3399999999999999</v>
          </cell>
          <cell r="S108">
            <v>20.18</v>
          </cell>
          <cell r="T108">
            <v>9.77</v>
          </cell>
          <cell r="U108">
            <v>0</v>
          </cell>
          <cell r="V108">
            <v>0</v>
          </cell>
          <cell r="W108">
            <v>0</v>
          </cell>
          <cell r="X108">
            <v>0.02</v>
          </cell>
        </row>
        <row r="109">
          <cell r="A109">
            <v>0</v>
          </cell>
          <cell r="B109" t="str">
            <v>1, Cäøng ngoî :</v>
          </cell>
          <cell r="C109">
            <v>0</v>
          </cell>
          <cell r="D109">
            <v>0</v>
          </cell>
        </row>
        <row r="110">
          <cell r="A110" t="str">
            <v>221.110</v>
          </cell>
          <cell r="B110" t="str">
            <v>Bã täng loït âaï 4x6 M50</v>
          </cell>
          <cell r="C110" t="str">
            <v>m3</v>
          </cell>
          <cell r="D110">
            <v>7.0000000000000007E-2</v>
          </cell>
          <cell r="E110">
            <v>7.0000000000000007E-2</v>
          </cell>
          <cell r="F110">
            <v>11</v>
          </cell>
          <cell r="G110">
            <v>0.03</v>
          </cell>
          <cell r="J110">
            <v>0.05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A111" t="str">
            <v>204.310</v>
          </cell>
          <cell r="B111" t="str">
            <v xml:space="preserve">Xáy gaûch âàûc væîa XM M75 truû cäøng </v>
          </cell>
          <cell r="C111" t="str">
            <v>m3</v>
          </cell>
          <cell r="D111">
            <v>0.93</v>
          </cell>
          <cell r="E111">
            <v>0.28999999999999998</v>
          </cell>
          <cell r="F111">
            <v>74.69</v>
          </cell>
          <cell r="H111">
            <v>0.32</v>
          </cell>
          <cell r="K111">
            <v>0</v>
          </cell>
          <cell r="L111">
            <v>0</v>
          </cell>
          <cell r="M111">
            <v>727.26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A112" t="str">
            <v>651.220</v>
          </cell>
          <cell r="B112" t="str">
            <v>Traït truû cäøng væîa XM M75 daìy 15</v>
          </cell>
          <cell r="C112" t="str">
            <v>m2</v>
          </cell>
          <cell r="D112">
            <v>6.4</v>
          </cell>
          <cell r="E112">
            <v>0.12</v>
          </cell>
          <cell r="F112">
            <v>30.91</v>
          </cell>
          <cell r="H112">
            <v>0.13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A113" t="str">
            <v>703.440</v>
          </cell>
          <cell r="B113" t="str">
            <v>Sån cæía haìng raìo song sàõt 3 næåïc maìu ghi</v>
          </cell>
          <cell r="C113" t="str">
            <v>m2</v>
          </cell>
          <cell r="D113">
            <v>6</v>
          </cell>
          <cell r="E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1.35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A114" t="str">
            <v>701.110</v>
          </cell>
          <cell r="B114" t="str">
            <v xml:space="preserve">Queït väi truû cäøng 3 næåïc </v>
          </cell>
          <cell r="C114" t="str">
            <v>m2</v>
          </cell>
          <cell r="D114">
            <v>6.4</v>
          </cell>
          <cell r="E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0.13</v>
          </cell>
          <cell r="S114">
            <v>1.92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A115">
            <v>0</v>
          </cell>
          <cell r="B115" t="str">
            <v>2, tæåìng raìo :</v>
          </cell>
          <cell r="C115">
            <v>0</v>
          </cell>
          <cell r="D115">
            <v>0</v>
          </cell>
        </row>
        <row r="116">
          <cell r="A116" t="str">
            <v>221.110</v>
          </cell>
          <cell r="B116" t="str">
            <v>Bã täng loït moïng âaï 4x6 M50</v>
          </cell>
          <cell r="C116" t="str">
            <v>m3</v>
          </cell>
          <cell r="D116">
            <v>1.32</v>
          </cell>
          <cell r="E116">
            <v>1.35</v>
          </cell>
          <cell r="F116">
            <v>209</v>
          </cell>
          <cell r="G116">
            <v>0.59</v>
          </cell>
          <cell r="J116">
            <v>1.01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A117" t="str">
            <v>200.110</v>
          </cell>
          <cell r="B117" t="str">
            <v>Xáy moïng âaï häüc væîa XM M50</v>
          </cell>
          <cell r="C117" t="str">
            <v>m3</v>
          </cell>
          <cell r="D117">
            <v>4.4000000000000004</v>
          </cell>
          <cell r="E117">
            <v>1.85</v>
          </cell>
          <cell r="F117">
            <v>336.33</v>
          </cell>
          <cell r="H117">
            <v>2.19</v>
          </cell>
          <cell r="K117">
            <v>5.28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A118" t="str">
            <v>204.310</v>
          </cell>
          <cell r="B118" t="str">
            <v>Xáy truû tæåìng raìo væîa XM M75 cao &lt; 4m</v>
          </cell>
          <cell r="C118" t="str">
            <v>m3</v>
          </cell>
          <cell r="D118">
            <v>0.68</v>
          </cell>
          <cell r="E118">
            <v>0.21</v>
          </cell>
          <cell r="F118">
            <v>54.09</v>
          </cell>
          <cell r="H118">
            <v>0.23</v>
          </cell>
          <cell r="K118">
            <v>0</v>
          </cell>
          <cell r="L118">
            <v>0</v>
          </cell>
          <cell r="M118">
            <v>531.76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A119" t="str">
            <v>651.220</v>
          </cell>
          <cell r="B119" t="str">
            <v>Traït truû tæåìng raìo væîa XM M50 daìy 15</v>
          </cell>
          <cell r="C119" t="str">
            <v>m2</v>
          </cell>
          <cell r="D119">
            <v>12.32</v>
          </cell>
          <cell r="E119">
            <v>0.22</v>
          </cell>
          <cell r="F119">
            <v>40</v>
          </cell>
          <cell r="H119">
            <v>0.26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0">
          <cell r="A120" t="str">
            <v>204.250</v>
          </cell>
          <cell r="B120" t="str">
            <v>Xáy tæåìng raìo daìy 220 væîaM M50</v>
          </cell>
          <cell r="C120" t="str">
            <v>m3</v>
          </cell>
          <cell r="D120">
            <v>1.35</v>
          </cell>
          <cell r="E120">
            <v>0.42</v>
          </cell>
          <cell r="F120">
            <v>76.36</v>
          </cell>
          <cell r="H120">
            <v>0.5</v>
          </cell>
          <cell r="K120">
            <v>0</v>
          </cell>
          <cell r="L120">
            <v>0</v>
          </cell>
          <cell r="M120">
            <v>1055.7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A121" t="str">
            <v>651.130</v>
          </cell>
          <cell r="B121" t="str">
            <v>Traït tæåìng raìo væîa XM M50 daìy 15</v>
          </cell>
          <cell r="C121" t="str">
            <v>m2</v>
          </cell>
          <cell r="D121">
            <v>17.34</v>
          </cell>
          <cell r="E121">
            <v>0.28999999999999998</v>
          </cell>
          <cell r="F121">
            <v>52.72</v>
          </cell>
          <cell r="H121">
            <v>0.34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A122" t="str">
            <v>701.110</v>
          </cell>
          <cell r="B122" t="str">
            <v xml:space="preserve">Queït tæåìng raìo, truû 3 næåïc : 1 tràõng 2 maìu </v>
          </cell>
          <cell r="C122" t="str">
            <v>m2</v>
          </cell>
          <cell r="D122">
            <v>29.66</v>
          </cell>
          <cell r="E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0.59</v>
          </cell>
          <cell r="S122">
            <v>8.9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A123" t="str">
            <v>703.440</v>
          </cell>
          <cell r="B123" t="str">
            <v xml:space="preserve">Sån haìng raìo song sàõt 3 næåïc </v>
          </cell>
          <cell r="C123" t="str">
            <v>m2</v>
          </cell>
          <cell r="D123">
            <v>37.4</v>
          </cell>
          <cell r="E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8.42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 t="str">
            <v>221.110</v>
          </cell>
          <cell r="B124" t="str">
            <v>Bã täng loït moïng cäüt âaï 4x6 M50</v>
          </cell>
          <cell r="C124" t="str">
            <v>m3</v>
          </cell>
          <cell r="D124">
            <v>0.23</v>
          </cell>
          <cell r="E124">
            <v>0.24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A125" t="str">
            <v>300.210</v>
          </cell>
          <cell r="B125" t="str">
            <v xml:space="preserve">Bã täng âuïc sàôn cäüt haìng raìo </v>
          </cell>
          <cell r="C125" t="str">
            <v>m3</v>
          </cell>
          <cell r="D125">
            <v>1.76</v>
          </cell>
          <cell r="E125">
            <v>1.79</v>
          </cell>
          <cell r="F125">
            <v>582.11</v>
          </cell>
          <cell r="G125">
            <v>0.74</v>
          </cell>
          <cell r="I125">
            <v>1.51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0.02</v>
          </cell>
        </row>
        <row r="126">
          <cell r="A126" t="str">
            <v>651.220</v>
          </cell>
          <cell r="B126" t="str">
            <v>Traït cäüt haìng raìo væîa XM M50 daìy 15</v>
          </cell>
          <cell r="C126" t="str">
            <v>m2</v>
          </cell>
          <cell r="D126">
            <v>31.2</v>
          </cell>
          <cell r="E126">
            <v>0.56000000000000005</v>
          </cell>
          <cell r="F126">
            <v>101.81</v>
          </cell>
          <cell r="H126">
            <v>0.66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</row>
        <row r="127">
          <cell r="A127" t="str">
            <v>701.110</v>
          </cell>
          <cell r="B127" t="str">
            <v xml:space="preserve">Queït väi cäüt haìng raìo </v>
          </cell>
          <cell r="C127" t="str">
            <v>m2</v>
          </cell>
          <cell r="D127">
            <v>31.2</v>
          </cell>
          <cell r="E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0.62</v>
          </cell>
          <cell r="S127">
            <v>9.36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DG"/>
      <sheetName val="TVL"/>
      <sheetName val="CVC"/>
      <sheetName val="DTCT"/>
      <sheetName val="dg"/>
      <sheetName val="TH"/>
      <sheetName val="THTB"/>
      <sheetName val="KSTK"/>
      <sheetName val="KS-Nthu"/>
      <sheetName val="CPVC"/>
      <sheetName val="GPMB"/>
      <sheetName val="DBGT"/>
      <sheetName val="TH2"/>
      <sheetName val="HM2"/>
      <sheetName val="DTCT2"/>
      <sheetName val="KSTK2"/>
      <sheetName val="VCTB"/>
      <sheetName val="HLM"/>
      <sheetName val="Tbang1"/>
      <sheetName val="kL1"/>
      <sheetName val="trabang2"/>
      <sheetName val="Summary"/>
      <sheetName val="Detailed BoQ"/>
      <sheetName val="KCT'PMU1,9Nov'01,26Apr'01"/>
      <sheetName val="Rev. BOQ Sum,9Nov'01"/>
      <sheetName val="TheoDTTK(T.Ang)"/>
      <sheetName val="Sheet5"/>
      <sheetName val="Sheet2"/>
      <sheetName val="TDnhap"/>
      <sheetName val="Captien"/>
      <sheetName val="CDNL"/>
      <sheetName val="SSVT"/>
      <sheetName val="Giayphep"/>
      <sheetName val="Vay von"/>
      <sheetName val="Sheet7"/>
      <sheetName val="Xin KP"/>
      <sheetName val="Sheet8"/>
      <sheetName val="Dtru PT"/>
      <sheetName val="Don gia"/>
      <sheetName val="DtruVTNL"/>
      <sheetName val="DMNl"/>
      <sheetName val="Sheet4"/>
      <sheetName val="THcong"/>
      <sheetName val="Sheet1"/>
      <sheetName val="Gia BC"/>
      <sheetName val="BCtuan"/>
      <sheetName val="Bke may"/>
      <sheetName val="Sheet3"/>
      <sheetName val="TDxe"/>
      <sheetName val="Bkxe"/>
      <sheetName val="BBNTAD"/>
      <sheetName val="TheoDTTK(Chay)"/>
      <sheetName val="SLnam01doi10"/>
      <sheetName val="00000000"/>
      <sheetName val="XL4Poppy"/>
      <sheetName val="HE SO"/>
      <sheetName val="thang1-2003"/>
      <sheetName val="thang8-03"/>
      <sheetName val="thang12"/>
      <sheetName val="thang11"/>
      <sheetName val="TM"/>
      <sheetName val="Du toan"/>
      <sheetName val="Phan tich vat tu"/>
      <sheetName val="Tong hop vat tu"/>
      <sheetName val="Gia tri vat tu"/>
      <sheetName val="Chenh lech vat tu"/>
      <sheetName val="Chi phi van chuyen"/>
      <sheetName val="Don gia chi tiet"/>
      <sheetName val="Du thau"/>
      <sheetName val="Tong hop kinh phi"/>
      <sheetName val="Tu van Thiet ke"/>
      <sheetName val="Tien do thi cong"/>
      <sheetName val="Bia du toan"/>
      <sheetName val="Tro giup"/>
      <sheetName val="Config"/>
    </sheetNames>
    <sheetDataSet>
      <sheetData sheetId="0" refreshError="1">
        <row r="19">
          <cell r="E19" t="str">
            <v>V÷a bª t«ng M300 ®¸ 1x2 ®é sôt 2-4</v>
          </cell>
        </row>
        <row r="20">
          <cell r="E20" t="str">
            <v>A.VËt liÖu</v>
          </cell>
        </row>
        <row r="21">
          <cell r="E21" t="str">
            <v>Xi m¨ng</v>
          </cell>
        </row>
        <row r="22">
          <cell r="E22" t="str">
            <v>C¸t vµng §«ng Hµ</v>
          </cell>
        </row>
        <row r="23">
          <cell r="E23" t="str">
            <v>§¸ d¨m 1x2</v>
          </cell>
        </row>
        <row r="24">
          <cell r="E24" t="str">
            <v>N­íc</v>
          </cell>
        </row>
        <row r="25">
          <cell r="E25" t="str">
            <v>Phô gia (chiÕm 1% XM)</v>
          </cell>
        </row>
        <row r="26">
          <cell r="E26" t="str">
            <v>V÷a bª t«ng M300 ®¸ 1x2 chèng thÊm</v>
          </cell>
        </row>
        <row r="27">
          <cell r="E27" t="str">
            <v>A.VËt liÖu</v>
          </cell>
        </row>
        <row r="28">
          <cell r="E28" t="str">
            <v>Xi m¨ng</v>
          </cell>
        </row>
        <row r="29">
          <cell r="E29" t="str">
            <v>C¸t vµng §«ng Hµ</v>
          </cell>
        </row>
        <row r="30">
          <cell r="E30" t="str">
            <v>§¸ d¨m 1x2</v>
          </cell>
        </row>
        <row r="31">
          <cell r="E31" t="str">
            <v>N­íc</v>
          </cell>
        </row>
        <row r="32">
          <cell r="E32" t="str">
            <v>Phô gia (chiÕm 1% XM)</v>
          </cell>
        </row>
        <row r="33">
          <cell r="E33" t="str">
            <v>V÷a BT M200 ®¸ 1x2 ®é sôt 2-4</v>
          </cell>
        </row>
        <row r="34">
          <cell r="E34" t="str">
            <v>A. VËt liÖu</v>
          </cell>
        </row>
        <row r="35">
          <cell r="E35" t="str">
            <v>Xi m¨ng</v>
          </cell>
        </row>
        <row r="36">
          <cell r="E36" t="str">
            <v>C¸t vµng §«ng Hµ</v>
          </cell>
        </row>
        <row r="37">
          <cell r="E37" t="str">
            <v>§¸ d¨m 1x2</v>
          </cell>
        </row>
        <row r="38">
          <cell r="E38" t="str">
            <v>N­íc</v>
          </cell>
        </row>
        <row r="39">
          <cell r="E39" t="str">
            <v>V÷a BT M300 ®é sôt 14-17 ®¸ 1x2</v>
          </cell>
        </row>
        <row r="40">
          <cell r="E40" t="str">
            <v>A.VËt liÖu</v>
          </cell>
        </row>
        <row r="41">
          <cell r="E41" t="str">
            <v>Xi m¨ng</v>
          </cell>
        </row>
        <row r="42">
          <cell r="E42" t="str">
            <v>C¸t vµng §«ng Hµ</v>
          </cell>
        </row>
        <row r="43">
          <cell r="E43" t="str">
            <v>§¸ d¨m 1x2</v>
          </cell>
        </row>
        <row r="44">
          <cell r="E44" t="str">
            <v>N­íc</v>
          </cell>
        </row>
        <row r="45">
          <cell r="E45" t="str">
            <v>Phô gia (chiÕm 1% XM)</v>
          </cell>
        </row>
        <row r="46">
          <cell r="E46" t="str">
            <v>V÷a BT M250 ®¸ 1x2 ®é sôt 6-8</v>
          </cell>
        </row>
        <row r="47">
          <cell r="E47" t="str">
            <v>A.VËt liÖu</v>
          </cell>
        </row>
        <row r="48">
          <cell r="E48" t="str">
            <v>Xi m¨ng</v>
          </cell>
        </row>
        <row r="49">
          <cell r="E49" t="str">
            <v>C¸t vµng §«ng Hµ</v>
          </cell>
        </row>
        <row r="50">
          <cell r="E50" t="str">
            <v>§¸ d¨m 1x2</v>
          </cell>
        </row>
        <row r="51">
          <cell r="E51" t="str">
            <v>N­íc</v>
          </cell>
        </row>
        <row r="52">
          <cell r="E52" t="str">
            <v>V÷a BT M250 ®¸ 1x2 ®é sôt 2-4</v>
          </cell>
        </row>
        <row r="53">
          <cell r="E53" t="str">
            <v>A.VËt liÖu</v>
          </cell>
        </row>
        <row r="54">
          <cell r="E54" t="str">
            <v>Xi m¨ng</v>
          </cell>
        </row>
        <row r="55">
          <cell r="E55" t="str">
            <v>C¸t vµng §«ng Hµ</v>
          </cell>
        </row>
        <row r="56">
          <cell r="E56" t="str">
            <v>§¸ d¨m 1x2</v>
          </cell>
        </row>
        <row r="57">
          <cell r="E57" t="str">
            <v>N­íc</v>
          </cell>
        </row>
        <row r="58">
          <cell r="E58" t="str">
            <v>V÷a BT M250 ®¸ 4x6</v>
          </cell>
        </row>
        <row r="59">
          <cell r="E59" t="str">
            <v>A.VËt liÖu</v>
          </cell>
        </row>
        <row r="60">
          <cell r="E60" t="str">
            <v>Xi m¨ng</v>
          </cell>
        </row>
        <row r="61">
          <cell r="E61" t="str">
            <v>C¸t vµng §«ng Hµ</v>
          </cell>
        </row>
        <row r="62">
          <cell r="E62" t="str">
            <v>§¸ d¨m 1x2</v>
          </cell>
        </row>
        <row r="63">
          <cell r="E63" t="str">
            <v>N­íc</v>
          </cell>
        </row>
        <row r="64">
          <cell r="E64" t="str">
            <v>V÷a BT M200 ®¸ 4x6</v>
          </cell>
        </row>
        <row r="65">
          <cell r="E65" t="str">
            <v>A.VËt liÖu</v>
          </cell>
        </row>
        <row r="66">
          <cell r="E66" t="str">
            <v>Xi m¨ng</v>
          </cell>
        </row>
        <row r="67">
          <cell r="E67" t="str">
            <v>C¸t vµng §«ng Hµ</v>
          </cell>
        </row>
        <row r="68">
          <cell r="E68" t="str">
            <v>§¸ d¨m 4x6</v>
          </cell>
        </row>
        <row r="69">
          <cell r="E69" t="str">
            <v>N­íc</v>
          </cell>
        </row>
        <row r="70">
          <cell r="E70" t="str">
            <v>V÷a BT M100 ®¸ 2x4</v>
          </cell>
        </row>
        <row r="71">
          <cell r="E71" t="str">
            <v>A.VËt liÖu</v>
          </cell>
        </row>
        <row r="72">
          <cell r="E72" t="str">
            <v>Xi m¨ng</v>
          </cell>
        </row>
        <row r="73">
          <cell r="E73" t="str">
            <v>C¸t vµng §«ng Hµ</v>
          </cell>
        </row>
        <row r="74">
          <cell r="E74" t="str">
            <v>§¸ d¨m 2x4</v>
          </cell>
        </row>
        <row r="75">
          <cell r="E75" t="str">
            <v>N­íc</v>
          </cell>
        </row>
        <row r="76">
          <cell r="E76" t="str">
            <v>V÷a BT M150 ®¸ 4x6</v>
          </cell>
        </row>
        <row r="77">
          <cell r="E77" t="str">
            <v>A.VËt liÖu</v>
          </cell>
        </row>
        <row r="78">
          <cell r="E78" t="str">
            <v>Xi m¨ng</v>
          </cell>
        </row>
        <row r="79">
          <cell r="E79" t="str">
            <v>C¸t vµng §«ng Hµ</v>
          </cell>
        </row>
        <row r="80">
          <cell r="E80" t="str">
            <v>§¸ d¨m 4x6</v>
          </cell>
        </row>
        <row r="81">
          <cell r="E81" t="str">
            <v>N­íc</v>
          </cell>
        </row>
        <row r="82">
          <cell r="E82" t="str">
            <v>V÷a XM M100</v>
          </cell>
        </row>
        <row r="83">
          <cell r="E83" t="str">
            <v>A.VËt liÖu</v>
          </cell>
        </row>
        <row r="84">
          <cell r="E84" t="str">
            <v>Xi m¨ng</v>
          </cell>
        </row>
        <row r="85">
          <cell r="E85" t="str">
            <v>C¸t vµng §«ng Hµ</v>
          </cell>
        </row>
        <row r="86">
          <cell r="E86" t="str">
            <v>V÷a XM M75</v>
          </cell>
        </row>
        <row r="87">
          <cell r="E87" t="str">
            <v>A.VËt liÖu</v>
          </cell>
        </row>
        <row r="88">
          <cell r="E88" t="str">
            <v>Xi m¨ng</v>
          </cell>
        </row>
        <row r="89">
          <cell r="E89" t="str">
            <v>C¸t vµng §«ng Hµ</v>
          </cell>
        </row>
        <row r="93">
          <cell r="E93" t="str">
            <v>h¹ng môc c«ng viÖc</v>
          </cell>
        </row>
        <row r="95">
          <cell r="E95" t="str">
            <v>BT mÆt cÇu ®æ t¹i chæ M300 ®¸ 1x2</v>
          </cell>
        </row>
        <row r="96">
          <cell r="E96" t="str">
            <v>A.VËt liÖu</v>
          </cell>
        </row>
        <row r="97">
          <cell r="E97" t="str">
            <v>V÷a bª t«ng M300 ®¸ 1x2 chèng thÊm</v>
          </cell>
        </row>
        <row r="98">
          <cell r="E98" t="str">
            <v>VËt liÖu kh¸c</v>
          </cell>
        </row>
        <row r="99">
          <cell r="E99" t="str">
            <v>B.Nh©n c«ng</v>
          </cell>
        </row>
        <row r="100">
          <cell r="E100" t="str">
            <v>Nh©n c«ng bËc 3.5/7</v>
          </cell>
        </row>
        <row r="101">
          <cell r="E101" t="str">
            <v>C. M¸y</v>
          </cell>
        </row>
        <row r="102">
          <cell r="E102" t="str">
            <v>M¸y trén 250l</v>
          </cell>
        </row>
        <row r="103">
          <cell r="E103" t="str">
            <v>M¸y ®Çm bµn 1KW</v>
          </cell>
        </row>
        <row r="104">
          <cell r="E104" t="str">
            <v>M¸y kh¸c</v>
          </cell>
        </row>
        <row r="105">
          <cell r="E105" t="str">
            <v>BT M300 gê khe co d·n</v>
          </cell>
        </row>
        <row r="106">
          <cell r="E106" t="str">
            <v>A.VËt liÖu</v>
          </cell>
        </row>
        <row r="107">
          <cell r="E107" t="str">
            <v>V÷a bª t«ng M300 ®¸ 1x2 ®é sôt 2-4</v>
          </cell>
        </row>
        <row r="108">
          <cell r="E108" t="str">
            <v>VËt liÖu kh¸c</v>
          </cell>
        </row>
        <row r="109">
          <cell r="E109" t="str">
            <v>B.Nh©n c«ng</v>
          </cell>
        </row>
        <row r="110">
          <cell r="E110" t="str">
            <v>Nh©n c«ng bËc 3.5/7</v>
          </cell>
        </row>
        <row r="111">
          <cell r="E111" t="str">
            <v>C. M¸y</v>
          </cell>
        </row>
        <row r="112">
          <cell r="E112" t="str">
            <v>M¸y trén 250l</v>
          </cell>
        </row>
        <row r="113">
          <cell r="E113" t="str">
            <v>M¸y kh¸c</v>
          </cell>
        </row>
        <row r="114">
          <cell r="E114" t="str">
            <v>BT gê lan can M250</v>
          </cell>
        </row>
        <row r="115">
          <cell r="E115" t="str">
            <v>A.VËt liÖu</v>
          </cell>
        </row>
        <row r="116">
          <cell r="E116" t="str">
            <v>V÷a BT M250 ®¸ 1x2 ®é sôt 2-4</v>
          </cell>
        </row>
        <row r="117">
          <cell r="E117" t="str">
            <v>VËt liÖu kh¸c</v>
          </cell>
        </row>
        <row r="118">
          <cell r="E118" t="str">
            <v>B.Nh©n c«ng</v>
          </cell>
        </row>
        <row r="119">
          <cell r="E119" t="str">
            <v>Nh©n c«ng bËc 3.5/7</v>
          </cell>
        </row>
        <row r="120">
          <cell r="E120" t="str">
            <v>C. M¸y</v>
          </cell>
        </row>
        <row r="121">
          <cell r="E121" t="str">
            <v>M¸y trén 250l</v>
          </cell>
        </row>
        <row r="122">
          <cell r="E122" t="str">
            <v>M¸y kh¸c</v>
          </cell>
        </row>
        <row r="123">
          <cell r="E123" t="str">
            <v>G/c«ng CT mÆt cÇu F=8mm</v>
          </cell>
        </row>
        <row r="124">
          <cell r="E124" t="str">
            <v>A.VËt liÖu</v>
          </cell>
        </row>
        <row r="125">
          <cell r="E125" t="str">
            <v>ThÐp trßn d=8mm</v>
          </cell>
        </row>
        <row r="126">
          <cell r="E126" t="str">
            <v>D©y thÐp</v>
          </cell>
        </row>
        <row r="127">
          <cell r="E127" t="str">
            <v>B.Nh©n c«ng</v>
          </cell>
        </row>
        <row r="128">
          <cell r="E128" t="str">
            <v>Nh©n c«ng bËc 3.5/7</v>
          </cell>
        </row>
        <row r="129">
          <cell r="E129" t="str">
            <v>C. M¸y</v>
          </cell>
        </row>
        <row r="130">
          <cell r="E130" t="str">
            <v>M¸y vËn th¨ng 0,8T</v>
          </cell>
        </row>
        <row r="131">
          <cell r="E131" t="str">
            <v>M¸y c¾t uèn cèt thÐp</v>
          </cell>
        </row>
        <row r="132">
          <cell r="E132" t="str">
            <v>G/c«ng CT mÆt cÇu + gê F=10mm</v>
          </cell>
        </row>
        <row r="133">
          <cell r="E133" t="str">
            <v>A.VËt liÖu</v>
          </cell>
        </row>
        <row r="134">
          <cell r="E134" t="str">
            <v>ThÐp trßn d=10mm</v>
          </cell>
        </row>
        <row r="135">
          <cell r="E135" t="str">
            <v>D©y thÐp</v>
          </cell>
        </row>
        <row r="136">
          <cell r="E136" t="str">
            <v>B.Nh©n c«ng</v>
          </cell>
        </row>
        <row r="137">
          <cell r="E137" t="str">
            <v>Nh©n c«ng bËc 3.5/7</v>
          </cell>
        </row>
        <row r="138">
          <cell r="E138" t="str">
            <v>C. M¸y</v>
          </cell>
        </row>
        <row r="139">
          <cell r="E139" t="str">
            <v>M¸y vËn th¨ng 0,8T</v>
          </cell>
        </row>
        <row r="140">
          <cell r="E140" t="str">
            <v>M¸y c¾t uèn cèt thÐp</v>
          </cell>
        </row>
        <row r="141">
          <cell r="E141" t="str">
            <v>G/c«ng CT gê F=14mm</v>
          </cell>
        </row>
        <row r="142">
          <cell r="E142" t="str">
            <v>A.VËt liÖu</v>
          </cell>
        </row>
        <row r="143">
          <cell r="E143" t="str">
            <v>ThÐp trßn d=14mm</v>
          </cell>
        </row>
        <row r="144">
          <cell r="E144" t="str">
            <v>D©y thÐp</v>
          </cell>
        </row>
        <row r="145">
          <cell r="E145" t="str">
            <v>Que hµn</v>
          </cell>
        </row>
        <row r="146">
          <cell r="E146" t="str">
            <v>B.Nh©n c«ng</v>
          </cell>
        </row>
        <row r="147">
          <cell r="E147" t="str">
            <v>Nh©n c«ng bËc 3.5/7</v>
          </cell>
        </row>
        <row r="148">
          <cell r="E148" t="str">
            <v>C. M¸y</v>
          </cell>
        </row>
        <row r="149">
          <cell r="E149" t="str">
            <v>M¸y hµn 23KW</v>
          </cell>
        </row>
        <row r="150">
          <cell r="E150" t="str">
            <v>M¸y vËn th¨ng 0,8T</v>
          </cell>
        </row>
        <row r="151">
          <cell r="E151" t="str">
            <v>M¸y c¾t uèn cèt thÐp</v>
          </cell>
        </row>
        <row r="152">
          <cell r="E152" t="str">
            <v>V¸n khu«n gê lan can</v>
          </cell>
        </row>
        <row r="153">
          <cell r="E153" t="str">
            <v>A.VËt liÖu</v>
          </cell>
        </row>
        <row r="154">
          <cell r="E154" t="str">
            <v>Gç v¸n</v>
          </cell>
        </row>
        <row r="155">
          <cell r="E155" t="str">
            <v>Gç chèng</v>
          </cell>
        </row>
        <row r="156">
          <cell r="E156" t="str">
            <v>§inh</v>
          </cell>
        </row>
        <row r="157">
          <cell r="E157" t="str">
            <v>VËt liÖu kh¸c</v>
          </cell>
        </row>
        <row r="158">
          <cell r="E158" t="str">
            <v>B.Nh©n c«ng</v>
          </cell>
        </row>
        <row r="159">
          <cell r="E159" t="str">
            <v>Nh©n c«ng bËc 4,0/7</v>
          </cell>
        </row>
        <row r="160">
          <cell r="E160" t="str">
            <v>Bao t¶i tÈm nhùa ®­êng</v>
          </cell>
        </row>
        <row r="161">
          <cell r="E161" t="str">
            <v>A.VËt liÖu</v>
          </cell>
        </row>
        <row r="162">
          <cell r="E162" t="str">
            <v>Nhùa ®­êng</v>
          </cell>
        </row>
        <row r="163">
          <cell r="E163" t="str">
            <v xml:space="preserve">Bao t¶i  </v>
          </cell>
        </row>
        <row r="164">
          <cell r="E164" t="str">
            <v>Bét ®¸</v>
          </cell>
        </row>
        <row r="165">
          <cell r="E165" t="str">
            <v>Cñi</v>
          </cell>
        </row>
        <row r="166">
          <cell r="E166" t="str">
            <v>B.Nh©n c«ng</v>
          </cell>
        </row>
        <row r="167">
          <cell r="E167" t="str">
            <v>Nh©n c«ng bËc 3.5/7</v>
          </cell>
        </row>
        <row r="168">
          <cell r="E168" t="str">
            <v>Khe co d·n cao su mua t¹i TPHCM</v>
          </cell>
        </row>
        <row r="169">
          <cell r="E169" t="str">
            <v>A.VËt liÖu</v>
          </cell>
        </row>
        <row r="170">
          <cell r="E170" t="str">
            <v>Khe co d·n cao su</v>
          </cell>
        </row>
        <row r="171">
          <cell r="E171" t="str">
            <v>VËt liÖu kh¸c</v>
          </cell>
        </row>
        <row r="172">
          <cell r="E172" t="str">
            <v>B.Nh©n c«ng</v>
          </cell>
        </row>
        <row r="173">
          <cell r="E173" t="str">
            <v>Nh©n c«ng bËc 3.0/7</v>
          </cell>
        </row>
        <row r="174">
          <cell r="E174" t="str">
            <v>èng tho¸t n­íc F=150 , L=1m</v>
          </cell>
        </row>
        <row r="175">
          <cell r="E175" t="str">
            <v>A.VËt liÖu</v>
          </cell>
        </row>
        <row r="176">
          <cell r="E176" t="str">
            <v>èng tho¸t n­íc</v>
          </cell>
        </row>
        <row r="177">
          <cell r="E177" t="str">
            <v>VËt liÖu kh¸c</v>
          </cell>
        </row>
        <row r="178">
          <cell r="E178" t="str">
            <v>B.Nh©n c«ng</v>
          </cell>
        </row>
        <row r="179">
          <cell r="E179" t="str">
            <v>Nh©n c«ng bËc 3.0/7</v>
          </cell>
        </row>
        <row r="180">
          <cell r="E180" t="str">
            <v>Khoan lç thÐp</v>
          </cell>
        </row>
        <row r="181">
          <cell r="E181" t="str">
            <v>B.Nh©n c«ng</v>
          </cell>
        </row>
        <row r="182">
          <cell r="E182" t="str">
            <v>Nh©n c«ng bËc 4,0/7</v>
          </cell>
        </row>
        <row r="183">
          <cell r="E183" t="str">
            <v>C. M¸y</v>
          </cell>
        </row>
        <row r="184">
          <cell r="E184" t="str">
            <v>M¸y khoan</v>
          </cell>
        </row>
        <row r="185">
          <cell r="E185" t="str">
            <v>C¾t thÐp h×nh (lÊy dÊu,tÈy bavia)</v>
          </cell>
        </row>
        <row r="186">
          <cell r="E186" t="str">
            <v>A.VËt liÖu</v>
          </cell>
        </row>
        <row r="187">
          <cell r="E187" t="str">
            <v>¤xy</v>
          </cell>
        </row>
        <row r="188">
          <cell r="E188" t="str">
            <v>§Êt ®Ìn</v>
          </cell>
        </row>
        <row r="189">
          <cell r="E189" t="str">
            <v>B.Nh©n c«ng</v>
          </cell>
        </row>
        <row r="190">
          <cell r="E190" t="str">
            <v>Nh©n c«ng bËc 4,0/7</v>
          </cell>
        </row>
        <row r="191">
          <cell r="E191" t="str">
            <v>QuÐt keo Epoxy 1438 TC 0,5l/m2</v>
          </cell>
        </row>
        <row r="192">
          <cell r="E192" t="str">
            <v>A.VËt liÖu</v>
          </cell>
        </row>
        <row r="193">
          <cell r="E193" t="str">
            <v>Concresive 1438</v>
          </cell>
        </row>
        <row r="194">
          <cell r="E194" t="str">
            <v>Chæi quÐt</v>
          </cell>
        </row>
        <row r="195">
          <cell r="E195" t="str">
            <v>B.Nh©n c«ng</v>
          </cell>
        </row>
        <row r="196">
          <cell r="E196" t="str">
            <v>Nh©n c«ng bËc 4,0/7</v>
          </cell>
        </row>
        <row r="197">
          <cell r="E197" t="str">
            <v>Bul«ng M20.</v>
          </cell>
        </row>
        <row r="198">
          <cell r="E198" t="str">
            <v>A.VËt liÖu</v>
          </cell>
        </row>
        <row r="199">
          <cell r="E199" t="str">
            <v>Bul«ng M20</v>
          </cell>
        </row>
        <row r="200">
          <cell r="E200" t="str">
            <v>VËt liÖu kh¸c</v>
          </cell>
        </row>
        <row r="201">
          <cell r="E201" t="str">
            <v>B.Nh©n c«ng</v>
          </cell>
        </row>
        <row r="202">
          <cell r="E202" t="str">
            <v>Nh©n c«ng bËc 3.0/7</v>
          </cell>
        </row>
        <row r="203">
          <cell r="E203" t="str">
            <v>§µo ®Êt mãng ®Êt cÊp 3</v>
          </cell>
        </row>
        <row r="204">
          <cell r="E204" t="str">
            <v>B.Nh©n c«ng</v>
          </cell>
        </row>
        <row r="205">
          <cell r="E205" t="str">
            <v>Nh©n c«ng bËc 2.7/7</v>
          </cell>
        </row>
        <row r="206">
          <cell r="E206" t="str">
            <v>§¾p ®Êt mãng ®Êt cÊp 3</v>
          </cell>
        </row>
        <row r="207">
          <cell r="E207" t="str">
            <v>B.Nh©n c«ng</v>
          </cell>
        </row>
        <row r="208">
          <cell r="E208" t="str">
            <v>Nh©n c«ng bËc 3.0/7</v>
          </cell>
        </row>
        <row r="209">
          <cell r="E209" t="str">
            <v>§µo mãng b»ng m¸y</v>
          </cell>
        </row>
        <row r="210">
          <cell r="E210" t="str">
            <v>B.Nh©n c«ng</v>
          </cell>
        </row>
        <row r="211">
          <cell r="E211" t="str">
            <v>Nh©n c«ng bËc 3.0/7</v>
          </cell>
        </row>
        <row r="212">
          <cell r="E212" t="str">
            <v>C. M¸y</v>
          </cell>
        </row>
        <row r="213">
          <cell r="E213" t="str">
            <v>M¸y ®µo&lt;=0.4m3</v>
          </cell>
        </row>
        <row r="214">
          <cell r="E214" t="str">
            <v>§¾p ®Êt mãng b»ng m¸y</v>
          </cell>
        </row>
        <row r="215">
          <cell r="E215" t="str">
            <v>C. M¸y</v>
          </cell>
        </row>
        <row r="216">
          <cell r="E216" t="str">
            <v>M¸y ®Çm 9T</v>
          </cell>
        </row>
        <row r="217">
          <cell r="E217" t="str">
            <v>M¸y ñi 110cv</v>
          </cell>
        </row>
        <row r="218">
          <cell r="E218" t="str">
            <v>§µo ph¸ ®¸</v>
          </cell>
        </row>
        <row r="219">
          <cell r="E219" t="str">
            <v>B.Nh©n c«ng</v>
          </cell>
        </row>
        <row r="220">
          <cell r="E220" t="str">
            <v>Nh©n c«ng bËc 3.0/7</v>
          </cell>
        </row>
        <row r="221">
          <cell r="E221" t="str">
            <v>§µo ph¸ ®¸ b»ng næ m×n</v>
          </cell>
        </row>
        <row r="222">
          <cell r="E222" t="str">
            <v>A.VËt liÖu</v>
          </cell>
        </row>
        <row r="223">
          <cell r="E223" t="str">
            <v>Thuèc næ Am«nÝt</v>
          </cell>
        </row>
        <row r="224">
          <cell r="E224" t="str">
            <v>KÝp næ</v>
          </cell>
        </row>
        <row r="225">
          <cell r="E225" t="str">
            <v>D©y næ</v>
          </cell>
        </row>
        <row r="226">
          <cell r="E226" t="str">
            <v>D©y ch¸y chËm</v>
          </cell>
        </row>
        <row r="227">
          <cell r="E227" t="str">
            <v>D©y ®iÖn</v>
          </cell>
        </row>
        <row r="228">
          <cell r="E228" t="str">
            <v>VËt liÖu kh¸c</v>
          </cell>
        </row>
        <row r="229">
          <cell r="E229" t="str">
            <v>B.Nh©n c«ng</v>
          </cell>
        </row>
        <row r="230">
          <cell r="E230" t="str">
            <v>Nh©n c«ng bËc 3.0/7</v>
          </cell>
        </row>
        <row r="231">
          <cell r="E231" t="str">
            <v>C. M¸y</v>
          </cell>
        </row>
        <row r="232">
          <cell r="E232" t="str">
            <v>M¸y khoan BT cÇm tay</v>
          </cell>
        </row>
        <row r="233">
          <cell r="E233" t="str">
            <v>M¸y nÐn khÝ 10m3/h</v>
          </cell>
        </row>
        <row r="234">
          <cell r="E234" t="str">
            <v>Gia c«ng vµ L§ thÐp d=12mm</v>
          </cell>
        </row>
        <row r="235">
          <cell r="E235" t="str">
            <v>A.VËt liÖu</v>
          </cell>
        </row>
        <row r="236">
          <cell r="E236" t="str">
            <v>ThÐp trßn d=12mm</v>
          </cell>
        </row>
        <row r="237">
          <cell r="E237" t="str">
            <v>Que hµn</v>
          </cell>
        </row>
        <row r="238">
          <cell r="E238" t="str">
            <v>VËt liÖu kh¸c</v>
          </cell>
        </row>
        <row r="239">
          <cell r="E239" t="str">
            <v>B.Nh©n c«ng</v>
          </cell>
        </row>
        <row r="240">
          <cell r="E240" t="str">
            <v>Nh©n c«ng bËc 3.5/7</v>
          </cell>
        </row>
        <row r="241">
          <cell r="E241" t="str">
            <v>C. M¸y</v>
          </cell>
        </row>
        <row r="242">
          <cell r="E242" t="str">
            <v>M¸y hµn 23KW</v>
          </cell>
        </row>
        <row r="243">
          <cell r="E243" t="str">
            <v>§­êng hµn</v>
          </cell>
        </row>
        <row r="244">
          <cell r="E244" t="str">
            <v>A.VËt liÖu</v>
          </cell>
        </row>
        <row r="245">
          <cell r="E245" t="str">
            <v>Que hµn</v>
          </cell>
        </row>
        <row r="246">
          <cell r="E246" t="str">
            <v>B.Nh©n c«ng</v>
          </cell>
        </row>
        <row r="247">
          <cell r="E247" t="str">
            <v>Nh©n c«ng bËc 4,0/7</v>
          </cell>
        </row>
        <row r="248">
          <cell r="E248" t="str">
            <v>C. M¸y</v>
          </cell>
        </row>
        <row r="249">
          <cell r="E249" t="str">
            <v>M¸y hµn 23KW</v>
          </cell>
        </row>
        <row r="250">
          <cell r="E250" t="str">
            <v>BT xµ mò+®¸ kª gèi trô M300 d.n­íc</v>
          </cell>
        </row>
        <row r="251">
          <cell r="E251" t="str">
            <v>A.VËt liÖu</v>
          </cell>
        </row>
        <row r="252">
          <cell r="E252" t="str">
            <v>V÷a bª t«ng M300 ®¸ 1x2 ®é sôt 6-8</v>
          </cell>
        </row>
        <row r="253">
          <cell r="E253" t="str">
            <v>VËt liÖu kh¸c</v>
          </cell>
        </row>
        <row r="254">
          <cell r="E254" t="str">
            <v>B.Nh©n c«ng</v>
          </cell>
        </row>
        <row r="255">
          <cell r="E255" t="str">
            <v>Nh©n c«ng bËc 4,0/7</v>
          </cell>
        </row>
        <row r="256">
          <cell r="E256" t="str">
            <v>C. M¸y</v>
          </cell>
        </row>
        <row r="257">
          <cell r="E257" t="str">
            <v>M¸y trén 250l</v>
          </cell>
        </row>
        <row r="258">
          <cell r="E258" t="str">
            <v>M¸y ®Çm dïi1.5KW</v>
          </cell>
        </row>
        <row r="259">
          <cell r="E259" t="str">
            <v>CÈu 16T</v>
          </cell>
        </row>
        <row r="260">
          <cell r="E260" t="str">
            <v>Sµ lan 200T</v>
          </cell>
        </row>
        <row r="261">
          <cell r="E261" t="str">
            <v>Sµ lan 400T</v>
          </cell>
        </row>
        <row r="262">
          <cell r="E262" t="str">
            <v>Tµu kÐo 150cv</v>
          </cell>
        </row>
        <row r="263">
          <cell r="E263" t="str">
            <v>M¸y kh¸c</v>
          </cell>
        </row>
        <row r="264">
          <cell r="E264" t="str">
            <v>BT ®¸ kª gèi mè M300 trªn c¹n</v>
          </cell>
        </row>
        <row r="265">
          <cell r="E265" t="str">
            <v>A.VËt liÖu</v>
          </cell>
        </row>
        <row r="266">
          <cell r="E266" t="str">
            <v>V÷a bª t«ng M300 ®¸ 1x2 ®é sôt 6-8</v>
          </cell>
        </row>
        <row r="267">
          <cell r="E267" t="str">
            <v>VËt liÖu kh¸c</v>
          </cell>
        </row>
        <row r="268">
          <cell r="E268" t="str">
            <v>B.Nh©n c«ng</v>
          </cell>
        </row>
        <row r="269">
          <cell r="E269" t="str">
            <v>Nh©n c«ng bËc 4,0/7</v>
          </cell>
        </row>
        <row r="270">
          <cell r="E270" t="str">
            <v>C. M¸y</v>
          </cell>
        </row>
        <row r="271">
          <cell r="E271" t="str">
            <v>M¸y trén 250l</v>
          </cell>
        </row>
        <row r="272">
          <cell r="E272" t="str">
            <v>M¸y ®Çm dïi1.5KW</v>
          </cell>
        </row>
        <row r="273">
          <cell r="E273" t="str">
            <v>CÈu 16T</v>
          </cell>
        </row>
        <row r="274">
          <cell r="E274" t="str">
            <v>M¸y kh¸c</v>
          </cell>
        </row>
        <row r="275">
          <cell r="E275" t="str">
            <v>V¸n khu«n thÐp mè+t­êng</v>
          </cell>
        </row>
        <row r="276">
          <cell r="E276" t="str">
            <v>A.VËt liÖu</v>
          </cell>
        </row>
        <row r="277">
          <cell r="E277" t="str">
            <v>ThÐp tÊm</v>
          </cell>
        </row>
        <row r="278">
          <cell r="E278" t="str">
            <v>ThÐp h×nh</v>
          </cell>
        </row>
        <row r="279">
          <cell r="E279" t="str">
            <v>Gç v¸n</v>
          </cell>
        </row>
        <row r="280">
          <cell r="E280" t="str">
            <v>Que hµn</v>
          </cell>
        </row>
        <row r="281">
          <cell r="E281" t="str">
            <v>VËt liÖu kh¸c</v>
          </cell>
        </row>
        <row r="282">
          <cell r="E282" t="str">
            <v>B.Nh©n c«ng</v>
          </cell>
        </row>
        <row r="283">
          <cell r="E283" t="str">
            <v>Nh©n c«ng bËc 4,0/7</v>
          </cell>
        </row>
        <row r="284">
          <cell r="E284" t="str">
            <v>C. M¸y</v>
          </cell>
        </row>
        <row r="285">
          <cell r="E285" t="str">
            <v>M¸y hµn 23KW</v>
          </cell>
        </row>
        <row r="286">
          <cell r="E286" t="str">
            <v>CÈu 16T</v>
          </cell>
        </row>
        <row r="287">
          <cell r="E287" t="str">
            <v>M¸y kh¸c</v>
          </cell>
        </row>
        <row r="288">
          <cell r="E288" t="str">
            <v>BT th©n + bÖ mè M250</v>
          </cell>
        </row>
        <row r="289">
          <cell r="E289" t="str">
            <v>A.VËt liÖu</v>
          </cell>
        </row>
        <row r="290">
          <cell r="E290" t="str">
            <v>V÷a BT M250 ®¸ 1x2 ®é sôt 6-8</v>
          </cell>
        </row>
        <row r="291">
          <cell r="E291" t="str">
            <v>VËt liÖu kh¸c</v>
          </cell>
        </row>
        <row r="292">
          <cell r="E292" t="str">
            <v>B.Nh©n c«ng</v>
          </cell>
        </row>
        <row r="293">
          <cell r="E293" t="str">
            <v>Nh©n c«ng bËc 4,0/7</v>
          </cell>
        </row>
        <row r="294">
          <cell r="E294" t="str">
            <v>C. M¸y</v>
          </cell>
        </row>
        <row r="295">
          <cell r="E295" t="str">
            <v>M¸y trén 250l</v>
          </cell>
        </row>
        <row r="296">
          <cell r="E296" t="str">
            <v>M¸y ®Çm dïi1.5KW</v>
          </cell>
        </row>
        <row r="297">
          <cell r="E297" t="str">
            <v>CÈu 16T</v>
          </cell>
        </row>
        <row r="298">
          <cell r="E298" t="str">
            <v>M¸y kh¸c</v>
          </cell>
        </row>
        <row r="299">
          <cell r="E299" t="str">
            <v>BT t­êng ngùc + t­êng c¸nh M250</v>
          </cell>
        </row>
        <row r="300">
          <cell r="E300" t="str">
            <v>A.VËt liÖu</v>
          </cell>
        </row>
        <row r="301">
          <cell r="E301" t="str">
            <v>V÷a BT M250 ®¸ 1x2 ®é sôt 2-4</v>
          </cell>
        </row>
        <row r="302">
          <cell r="E302" t="str">
            <v>Gç v¸n</v>
          </cell>
        </row>
        <row r="303">
          <cell r="E303" t="str">
            <v>§inh</v>
          </cell>
        </row>
        <row r="304">
          <cell r="E304" t="str">
            <v>§inh ®Üa</v>
          </cell>
        </row>
        <row r="305">
          <cell r="E305" t="str">
            <v>VËt liÖu kh¸c</v>
          </cell>
        </row>
        <row r="306">
          <cell r="E306" t="str">
            <v>B.Nh©n c«ng</v>
          </cell>
        </row>
        <row r="307">
          <cell r="E307" t="str">
            <v>Nh©n c«ng bËc 4,0/7</v>
          </cell>
        </row>
        <row r="308">
          <cell r="E308" t="str">
            <v>C. M¸y</v>
          </cell>
        </row>
        <row r="309">
          <cell r="E309" t="str">
            <v>M¸y trén 250l</v>
          </cell>
        </row>
        <row r="310">
          <cell r="E310" t="str">
            <v>M¸y ®Çm dïi1.5KW</v>
          </cell>
        </row>
        <row r="311">
          <cell r="E311" t="str">
            <v>M¸y vËn th¨ng 0,8T</v>
          </cell>
        </row>
        <row r="312">
          <cell r="E312" t="str">
            <v>§¸ héc x©y m¸i taluy v÷a M100</v>
          </cell>
        </row>
        <row r="313">
          <cell r="E313" t="str">
            <v>A.VËt liÖu</v>
          </cell>
        </row>
        <row r="314">
          <cell r="E314" t="str">
            <v>§¸ héc</v>
          </cell>
        </row>
        <row r="315">
          <cell r="E315" t="str">
            <v>§¸ d¨m 4x6</v>
          </cell>
        </row>
        <row r="316">
          <cell r="E316" t="str">
            <v>V÷a XM M100</v>
          </cell>
        </row>
        <row r="317">
          <cell r="E317" t="str">
            <v>B.Nh©n c«ng</v>
          </cell>
        </row>
        <row r="318">
          <cell r="E318" t="str">
            <v>Nh©n c«ng bËc 4,0/7</v>
          </cell>
        </row>
        <row r="319">
          <cell r="E319" t="str">
            <v>§¸ héc x©y tø nãn v÷a M100</v>
          </cell>
        </row>
        <row r="320">
          <cell r="E320" t="str">
            <v>A.VËt liÖu</v>
          </cell>
        </row>
        <row r="321">
          <cell r="E321" t="str">
            <v>§¸ héc</v>
          </cell>
        </row>
        <row r="322">
          <cell r="E322" t="str">
            <v>§¸ d¨m 4x6</v>
          </cell>
        </row>
        <row r="323">
          <cell r="E323" t="str">
            <v>D©y thÐp</v>
          </cell>
        </row>
        <row r="324">
          <cell r="E324" t="str">
            <v>V÷a XM M100</v>
          </cell>
        </row>
        <row r="325">
          <cell r="E325" t="str">
            <v>B.Nh©n c«ng</v>
          </cell>
        </row>
        <row r="326">
          <cell r="E326" t="str">
            <v>Nh©n c«ng bËc 3.5/7</v>
          </cell>
        </row>
        <row r="327">
          <cell r="E327" t="str">
            <v>§¸ héc x©y ch©n khay v÷a M100</v>
          </cell>
        </row>
        <row r="328">
          <cell r="E328" t="str">
            <v>A.VËt liÖu</v>
          </cell>
        </row>
        <row r="329">
          <cell r="E329" t="str">
            <v>§¸ héc</v>
          </cell>
        </row>
        <row r="330">
          <cell r="E330" t="str">
            <v>§¸ d¨m 4x6</v>
          </cell>
        </row>
        <row r="331">
          <cell r="E331" t="str">
            <v>V÷a XM M100</v>
          </cell>
        </row>
        <row r="332">
          <cell r="E332" t="str">
            <v>B.Nh©n c«ng</v>
          </cell>
        </row>
        <row r="333">
          <cell r="E333" t="str">
            <v>Nh©n c«ng bËc 3.5/7</v>
          </cell>
        </row>
        <row r="334">
          <cell r="E334" t="str">
            <v xml:space="preserve">BT th©n, bÖ trô M250 </v>
          </cell>
        </row>
        <row r="335">
          <cell r="E335" t="str">
            <v>A.VËt liÖu</v>
          </cell>
        </row>
        <row r="336">
          <cell r="E336" t="str">
            <v>V÷a BT M250 ®¸ 1x2 ®é sôt 6-8</v>
          </cell>
        </row>
        <row r="337">
          <cell r="E337" t="str">
            <v>VËt liÖu kh¸c</v>
          </cell>
        </row>
        <row r="338">
          <cell r="E338" t="str">
            <v>B.Nh©n c«ng</v>
          </cell>
        </row>
        <row r="339">
          <cell r="E339" t="str">
            <v>Nh©n c«ng bËc 4,0/7</v>
          </cell>
        </row>
        <row r="340">
          <cell r="E340" t="str">
            <v>C. M¸y</v>
          </cell>
        </row>
        <row r="341">
          <cell r="E341" t="str">
            <v>M¸y trén 250l</v>
          </cell>
        </row>
        <row r="342">
          <cell r="E342" t="str">
            <v>M¸y ®Çm dïi1.5KW</v>
          </cell>
        </row>
        <row r="343">
          <cell r="E343" t="str">
            <v>Sµ lan 200T</v>
          </cell>
        </row>
        <row r="344">
          <cell r="E344" t="str">
            <v>Sµ lan 400T</v>
          </cell>
        </row>
        <row r="345">
          <cell r="E345" t="str">
            <v>Tµu kÐo 150cv</v>
          </cell>
        </row>
        <row r="346">
          <cell r="E346" t="str">
            <v>CÈu 16T</v>
          </cell>
        </row>
        <row r="347">
          <cell r="E347" t="str">
            <v>M¸y kh¸c</v>
          </cell>
        </row>
        <row r="348">
          <cell r="E348" t="str">
            <v>Cèt thÐp mè F=8mm trªn c¹n</v>
          </cell>
        </row>
        <row r="349">
          <cell r="E349" t="str">
            <v>A.VËt liÖu</v>
          </cell>
        </row>
        <row r="350">
          <cell r="E350" t="str">
            <v>ThÐp trßn d=8mm</v>
          </cell>
        </row>
        <row r="351">
          <cell r="E351" t="str">
            <v>D©y thÐp</v>
          </cell>
        </row>
        <row r="352">
          <cell r="E352" t="str">
            <v>B.Nh©n c«ng</v>
          </cell>
        </row>
        <row r="353">
          <cell r="E353" t="str">
            <v>Nh©n c«ng bËc 4,0/7</v>
          </cell>
        </row>
        <row r="354">
          <cell r="E354" t="str">
            <v>C. M¸y</v>
          </cell>
        </row>
        <row r="355">
          <cell r="E355" t="str">
            <v>M¸y c¾t uèn cèt thÐp</v>
          </cell>
        </row>
        <row r="356">
          <cell r="E356" t="str">
            <v>CÈu 16T</v>
          </cell>
        </row>
        <row r="357">
          <cell r="E357" t="str">
            <v>Cèt thÐp mè F=10mm trªn c¹n</v>
          </cell>
        </row>
        <row r="358">
          <cell r="E358" t="str">
            <v>A.VËt liÖu</v>
          </cell>
        </row>
        <row r="359">
          <cell r="E359" t="str">
            <v>ThÐp trßn d=10mm</v>
          </cell>
        </row>
        <row r="360">
          <cell r="E360" t="str">
            <v>D©y thÐp</v>
          </cell>
        </row>
        <row r="361">
          <cell r="E361" t="str">
            <v>B.Nh©n c«ng</v>
          </cell>
        </row>
        <row r="362">
          <cell r="E362" t="str">
            <v>Nh©n c«ng bËc 4,0/7</v>
          </cell>
        </row>
        <row r="363">
          <cell r="E363" t="str">
            <v>C. M¸y</v>
          </cell>
        </row>
        <row r="364">
          <cell r="E364" t="str">
            <v>M¸y c¾t uèn cèt thÐp</v>
          </cell>
        </row>
        <row r="365">
          <cell r="E365" t="str">
            <v>CÈu 16T</v>
          </cell>
        </row>
        <row r="366">
          <cell r="E366" t="str">
            <v>Cèt thÐp mè F=12mm trªn c¹n</v>
          </cell>
        </row>
        <row r="367">
          <cell r="E367" t="str">
            <v>A.VËt liÖu</v>
          </cell>
        </row>
        <row r="368">
          <cell r="E368" t="str">
            <v>ThÐp trßn d=12mm</v>
          </cell>
        </row>
        <row r="369">
          <cell r="E369" t="str">
            <v>D©y thÐp</v>
          </cell>
        </row>
        <row r="370">
          <cell r="E370" t="str">
            <v>Que hµn</v>
          </cell>
        </row>
        <row r="371">
          <cell r="E371" t="str">
            <v>B.Nh©n c«ng</v>
          </cell>
        </row>
        <row r="372">
          <cell r="E372" t="str">
            <v>Nh©n c«ng bËc 4,0/7</v>
          </cell>
        </row>
        <row r="373">
          <cell r="E373" t="str">
            <v>C. M¸y</v>
          </cell>
        </row>
        <row r="374">
          <cell r="E374" t="str">
            <v>M¸y c¾t uèn cèt thÐp</v>
          </cell>
        </row>
        <row r="375">
          <cell r="E375" t="str">
            <v>CÈu 16T</v>
          </cell>
        </row>
        <row r="376">
          <cell r="E376" t="str">
            <v>M¸y hµn 23KW</v>
          </cell>
        </row>
        <row r="377">
          <cell r="E377" t="str">
            <v>Cèt thÐp mè F=14mm trªn c¹n</v>
          </cell>
        </row>
        <row r="378">
          <cell r="E378" t="str">
            <v>A.VËt liÖu</v>
          </cell>
        </row>
        <row r="379">
          <cell r="E379" t="str">
            <v>ThÐp trßn d=14mm</v>
          </cell>
        </row>
        <row r="380">
          <cell r="E380" t="str">
            <v>D©y thÐp</v>
          </cell>
        </row>
        <row r="381">
          <cell r="E381" t="str">
            <v>Que hµn</v>
          </cell>
        </row>
        <row r="382">
          <cell r="E382" t="str">
            <v>B.Nh©n c«ng</v>
          </cell>
        </row>
        <row r="383">
          <cell r="E383" t="str">
            <v>Nh©n c«ng bËc 4,0/7</v>
          </cell>
        </row>
        <row r="384">
          <cell r="E384" t="str">
            <v>C. M¸y</v>
          </cell>
        </row>
        <row r="385">
          <cell r="E385" t="str">
            <v>M¸y c¾t uèn cèt thÐp</v>
          </cell>
        </row>
        <row r="386">
          <cell r="E386" t="str">
            <v>CÈu 16T</v>
          </cell>
        </row>
        <row r="387">
          <cell r="E387" t="str">
            <v>M¸y hµn 23KW</v>
          </cell>
        </row>
        <row r="388">
          <cell r="E388" t="str">
            <v>Cèt thÐp mè F=16mm trªn c¹n</v>
          </cell>
        </row>
        <row r="389">
          <cell r="E389" t="str">
            <v>A.VËt liÖu</v>
          </cell>
        </row>
        <row r="390">
          <cell r="E390" t="str">
            <v>ThÐp trßn d=16mm</v>
          </cell>
        </row>
        <row r="391">
          <cell r="E391" t="str">
            <v>D©y thÐp</v>
          </cell>
        </row>
        <row r="392">
          <cell r="E392" t="str">
            <v>Que hµn</v>
          </cell>
        </row>
        <row r="393">
          <cell r="E393" t="str">
            <v>B.Nh©n c«ng</v>
          </cell>
        </row>
        <row r="394">
          <cell r="E394" t="str">
            <v>Nh©n c«ng bËc 4,0/7</v>
          </cell>
        </row>
        <row r="395">
          <cell r="E395" t="str">
            <v>C. M¸y</v>
          </cell>
        </row>
        <row r="396">
          <cell r="E396" t="str">
            <v>M¸y c¾t uèn cèt thÐp</v>
          </cell>
        </row>
        <row r="397">
          <cell r="E397" t="str">
            <v>CÈu 16T</v>
          </cell>
        </row>
        <row r="398">
          <cell r="E398" t="str">
            <v>M¸y hµn 23KW</v>
          </cell>
        </row>
        <row r="399">
          <cell r="E399" t="str">
            <v>Cèt thÐp mè F&gt;18mm trªn c¹n</v>
          </cell>
        </row>
        <row r="400">
          <cell r="E400" t="str">
            <v>A.VËt liÖu</v>
          </cell>
        </row>
        <row r="401">
          <cell r="E401" t="str">
            <v>ThÐp trßn d=20mm</v>
          </cell>
        </row>
        <row r="402">
          <cell r="E402" t="str">
            <v>D©y thÐp</v>
          </cell>
        </row>
        <row r="403">
          <cell r="E403" t="str">
            <v>Que hµn</v>
          </cell>
        </row>
        <row r="404">
          <cell r="E404" t="str">
            <v>B.Nh©n c«ng</v>
          </cell>
        </row>
        <row r="405">
          <cell r="E405" t="str">
            <v>Nh©n c«ng bËc 4,0/7</v>
          </cell>
        </row>
        <row r="406">
          <cell r="E406" t="str">
            <v>C. M¸y</v>
          </cell>
        </row>
        <row r="407">
          <cell r="E407" t="str">
            <v>M¸y c¾t uèn cèt thÐp</v>
          </cell>
        </row>
        <row r="408">
          <cell r="E408" t="str">
            <v>CÈu 16T</v>
          </cell>
        </row>
        <row r="409">
          <cell r="E409" t="str">
            <v>M¸y hµn 23KW</v>
          </cell>
        </row>
        <row r="410">
          <cell r="E410" t="str">
            <v>Cèt thÐp trô F=8mm d­íi n­íc</v>
          </cell>
        </row>
        <row r="411">
          <cell r="E411" t="str">
            <v>A.VËt liÖu</v>
          </cell>
        </row>
        <row r="412">
          <cell r="E412" t="str">
            <v>ThÐp trßn d=8mm</v>
          </cell>
        </row>
        <row r="413">
          <cell r="E413" t="str">
            <v>D©y thÐp</v>
          </cell>
        </row>
        <row r="414">
          <cell r="E414" t="str">
            <v>B.Nh©n c«ng</v>
          </cell>
        </row>
        <row r="415">
          <cell r="E415" t="str">
            <v>Nh©n c«ng bËc 4,0/7</v>
          </cell>
        </row>
        <row r="416">
          <cell r="E416" t="str">
            <v>C. M¸y</v>
          </cell>
        </row>
        <row r="417">
          <cell r="E417" t="str">
            <v>M¸y c¾t uèn cèt thÐp</v>
          </cell>
        </row>
        <row r="418">
          <cell r="E418" t="str">
            <v>Sµ lan 200T</v>
          </cell>
        </row>
        <row r="419">
          <cell r="E419" t="str">
            <v>Sµ lan 400T</v>
          </cell>
        </row>
        <row r="420">
          <cell r="E420" t="str">
            <v>Tµu kÐo 150cv</v>
          </cell>
        </row>
        <row r="421">
          <cell r="E421" t="str">
            <v>CÈu 25T</v>
          </cell>
        </row>
        <row r="422">
          <cell r="E422" t="str">
            <v>Cèt thÐp trô F=10mm d­íi n­íc</v>
          </cell>
        </row>
        <row r="423">
          <cell r="E423" t="str">
            <v>A.VËt liÖu</v>
          </cell>
        </row>
        <row r="424">
          <cell r="E424" t="str">
            <v>ThÐp trßn d=10mm</v>
          </cell>
        </row>
        <row r="425">
          <cell r="E425" t="str">
            <v>D©y thÐp</v>
          </cell>
        </row>
        <row r="426">
          <cell r="E426" t="str">
            <v>B.Nh©n c«ng</v>
          </cell>
        </row>
        <row r="427">
          <cell r="E427" t="str">
            <v>Nh©n c«ng bËc 4,0/7</v>
          </cell>
        </row>
        <row r="428">
          <cell r="E428" t="str">
            <v>C. M¸y</v>
          </cell>
        </row>
        <row r="429">
          <cell r="E429" t="str">
            <v>M¸y c¾t uèn cèt thÐp</v>
          </cell>
        </row>
        <row r="430">
          <cell r="E430" t="str">
            <v>Sµ lan 200T</v>
          </cell>
        </row>
        <row r="431">
          <cell r="E431" t="str">
            <v>Sµ lan 400T</v>
          </cell>
        </row>
        <row r="432">
          <cell r="E432" t="str">
            <v>Tµu kÐo 150cv</v>
          </cell>
        </row>
        <row r="433">
          <cell r="E433" t="str">
            <v>CÈu 25T</v>
          </cell>
        </row>
        <row r="434">
          <cell r="E434" t="str">
            <v>Cèt thÐp trô F=16mm d­íi n­íc</v>
          </cell>
        </row>
        <row r="435">
          <cell r="E435" t="str">
            <v>A.VËt liÖu</v>
          </cell>
        </row>
        <row r="436">
          <cell r="E436" t="str">
            <v>ThÐp trßn d=16mm</v>
          </cell>
        </row>
        <row r="437">
          <cell r="E437" t="str">
            <v>D©y thÐp</v>
          </cell>
        </row>
        <row r="438">
          <cell r="E438" t="str">
            <v>Que hµn</v>
          </cell>
        </row>
        <row r="439">
          <cell r="E439" t="str">
            <v>B.Nh©n c«ng</v>
          </cell>
        </row>
        <row r="440">
          <cell r="E440" t="str">
            <v>Nh©n c«ng bËc 4,0/7</v>
          </cell>
        </row>
        <row r="441">
          <cell r="E441" t="str">
            <v>C. M¸y</v>
          </cell>
        </row>
        <row r="442">
          <cell r="E442" t="str">
            <v>M¸y c¾t uèn cèt thÐp</v>
          </cell>
        </row>
        <row r="443">
          <cell r="E443" t="str">
            <v>CÈu 25T</v>
          </cell>
        </row>
        <row r="444">
          <cell r="E444" t="str">
            <v>M¸y hµn 23KW</v>
          </cell>
        </row>
        <row r="445">
          <cell r="E445" t="str">
            <v>Sµ lan 200T</v>
          </cell>
        </row>
        <row r="446">
          <cell r="E446" t="str">
            <v>Sµ lan 400T</v>
          </cell>
        </row>
        <row r="447">
          <cell r="E447" t="str">
            <v>Tµu kÐo 150cv</v>
          </cell>
        </row>
        <row r="448">
          <cell r="E448" t="str">
            <v>Cèt thÐp trô F=20mm d­íi n­íc</v>
          </cell>
        </row>
        <row r="449">
          <cell r="E449" t="str">
            <v>A.VËt liÖu</v>
          </cell>
        </row>
        <row r="450">
          <cell r="E450" t="str">
            <v>ThÐp trßn d=20mm</v>
          </cell>
        </row>
        <row r="451">
          <cell r="E451" t="str">
            <v>D©y thÐp</v>
          </cell>
        </row>
        <row r="452">
          <cell r="E452" t="str">
            <v>Que hµn</v>
          </cell>
        </row>
        <row r="453">
          <cell r="E453" t="str">
            <v>B.Nh©n c«ng</v>
          </cell>
        </row>
        <row r="454">
          <cell r="E454" t="str">
            <v>Nh©n c«ng bËc 4,0/7</v>
          </cell>
        </row>
        <row r="455">
          <cell r="E455" t="str">
            <v>C. M¸y</v>
          </cell>
        </row>
        <row r="456">
          <cell r="E456" t="str">
            <v>M¸y c¾t uèn cèt thÐp</v>
          </cell>
        </row>
        <row r="457">
          <cell r="E457" t="str">
            <v>CÈu 25T</v>
          </cell>
        </row>
        <row r="458">
          <cell r="E458" t="str">
            <v>M¸y hµn 23KW</v>
          </cell>
        </row>
        <row r="459">
          <cell r="E459" t="str">
            <v>Sµ lan 200T</v>
          </cell>
        </row>
        <row r="460">
          <cell r="E460" t="str">
            <v>Sµ lan 400T</v>
          </cell>
        </row>
        <row r="461">
          <cell r="E461" t="str">
            <v>Tµu kÐo 150cv</v>
          </cell>
        </row>
        <row r="462">
          <cell r="E462" t="str">
            <v>Cèt thÐp trô F=22mm d­íi n­íc</v>
          </cell>
        </row>
        <row r="463">
          <cell r="E463" t="str">
            <v>A.VËt liÖu</v>
          </cell>
        </row>
        <row r="464">
          <cell r="E464" t="str">
            <v>ThÐp trßn d=22mm</v>
          </cell>
        </row>
        <row r="465">
          <cell r="E465" t="str">
            <v>D©y thÐp</v>
          </cell>
        </row>
        <row r="466">
          <cell r="E466" t="str">
            <v>Que hµn</v>
          </cell>
        </row>
        <row r="467">
          <cell r="E467" t="str">
            <v>B.Nh©n c«ng</v>
          </cell>
        </row>
        <row r="468">
          <cell r="E468" t="str">
            <v>Nh©n c«ng bËc 4,0/7</v>
          </cell>
        </row>
        <row r="469">
          <cell r="E469" t="str">
            <v>C. M¸y</v>
          </cell>
        </row>
        <row r="470">
          <cell r="E470" t="str">
            <v>M¸y c¾t uèn cèt thÐp</v>
          </cell>
        </row>
        <row r="471">
          <cell r="E471" t="str">
            <v>CÈu 25T</v>
          </cell>
        </row>
        <row r="472">
          <cell r="E472" t="str">
            <v>M¸y hµn 23KW</v>
          </cell>
        </row>
        <row r="473">
          <cell r="E473" t="str">
            <v>Sµ lan 200T</v>
          </cell>
        </row>
        <row r="474">
          <cell r="E474" t="str">
            <v>Sµ lan 400T</v>
          </cell>
        </row>
        <row r="475">
          <cell r="E475" t="str">
            <v>Tµu kÐo 150cv</v>
          </cell>
        </row>
        <row r="476">
          <cell r="E476" t="str">
            <v>Cèt thÐp trô F=30mm d­íi n­íc</v>
          </cell>
        </row>
        <row r="477">
          <cell r="E477" t="str">
            <v>A.VËt liÖu</v>
          </cell>
        </row>
        <row r="478">
          <cell r="E478" t="str">
            <v>ThÐp trßn d=30mm</v>
          </cell>
        </row>
        <row r="479">
          <cell r="E479" t="str">
            <v>D©y thÐp</v>
          </cell>
        </row>
        <row r="480">
          <cell r="E480" t="str">
            <v>Que hµn</v>
          </cell>
        </row>
        <row r="481">
          <cell r="E481" t="str">
            <v>B.Nh©n c«ng</v>
          </cell>
        </row>
        <row r="482">
          <cell r="E482" t="str">
            <v>Nh©n c«ng bËc 4,0/7</v>
          </cell>
        </row>
        <row r="483">
          <cell r="E483" t="str">
            <v>C. M¸y</v>
          </cell>
        </row>
        <row r="484">
          <cell r="E484" t="str">
            <v>M¸y c¾t uèn cèt thÐp</v>
          </cell>
        </row>
        <row r="485">
          <cell r="E485" t="str">
            <v>CÈu 25T</v>
          </cell>
        </row>
        <row r="486">
          <cell r="E486" t="str">
            <v>M¸y hµn 23KW</v>
          </cell>
        </row>
        <row r="487">
          <cell r="E487" t="str">
            <v>Sµ lan 200T</v>
          </cell>
        </row>
        <row r="488">
          <cell r="E488" t="str">
            <v>Sµ lan 400T</v>
          </cell>
        </row>
        <row r="489">
          <cell r="E489" t="str">
            <v>Tµu kÐo 150cv</v>
          </cell>
        </row>
        <row r="490">
          <cell r="E490" t="str">
            <v>V¸n khu«n mè + trô cÇu</v>
          </cell>
        </row>
        <row r="491">
          <cell r="E491" t="str">
            <v>A.VËt liÖu</v>
          </cell>
        </row>
        <row r="492">
          <cell r="E492" t="str">
            <v>Gç v¸n</v>
          </cell>
        </row>
        <row r="493">
          <cell r="E493" t="str">
            <v>Gç chèng</v>
          </cell>
        </row>
        <row r="494">
          <cell r="E494" t="str">
            <v>§inh ®Üa</v>
          </cell>
        </row>
        <row r="495">
          <cell r="E495" t="str">
            <v>Bul«ng</v>
          </cell>
        </row>
        <row r="496">
          <cell r="E496" t="str">
            <v>§inh</v>
          </cell>
        </row>
        <row r="497">
          <cell r="E497" t="str">
            <v>VËt liÖu kh¸c</v>
          </cell>
        </row>
        <row r="498">
          <cell r="E498" t="str">
            <v>B.Nh©n c«ng</v>
          </cell>
        </row>
        <row r="499">
          <cell r="E499" t="str">
            <v>Nh©n c«ng bËc 4,0/7</v>
          </cell>
        </row>
        <row r="500">
          <cell r="E500" t="str">
            <v>C. M¸y</v>
          </cell>
        </row>
        <row r="501">
          <cell r="E501" t="str">
            <v>CÈu 25T</v>
          </cell>
        </row>
        <row r="502">
          <cell r="E502" t="str">
            <v>Sµ lan 200T</v>
          </cell>
        </row>
        <row r="503">
          <cell r="E503" t="str">
            <v>Sµ lan 400T</v>
          </cell>
        </row>
        <row r="504">
          <cell r="E504" t="str">
            <v>Tµu kÐo 150cv</v>
          </cell>
        </row>
        <row r="505">
          <cell r="E505" t="str">
            <v>V÷a XM t¹o dèc M75</v>
          </cell>
        </row>
        <row r="506">
          <cell r="E506" t="str">
            <v>A.VËt liÖu</v>
          </cell>
        </row>
        <row r="507">
          <cell r="E507" t="str">
            <v>V÷a XM M75</v>
          </cell>
        </row>
        <row r="508">
          <cell r="E508" t="str">
            <v>B.Nh©n c«ng</v>
          </cell>
        </row>
        <row r="509">
          <cell r="E509" t="str">
            <v>Nh©n c«ng bËc 3.5/7</v>
          </cell>
        </row>
        <row r="510">
          <cell r="E510" t="str">
            <v>BT b¶n dÉn vµ dÇm ®ì b¶n M250</v>
          </cell>
        </row>
        <row r="511">
          <cell r="E511" t="str">
            <v>A.VËt liÖu</v>
          </cell>
        </row>
        <row r="512">
          <cell r="E512" t="str">
            <v>V÷a BT M250 ®¸ 1x2 ®é sôt 2-4</v>
          </cell>
        </row>
        <row r="513">
          <cell r="E513" t="str">
            <v>VËt liÖu kh¸c</v>
          </cell>
        </row>
        <row r="514">
          <cell r="E514" t="str">
            <v>B.Nh©n c«ng</v>
          </cell>
        </row>
        <row r="515">
          <cell r="E515" t="str">
            <v>Nh©n c«ng bËc 3.0/7</v>
          </cell>
        </row>
        <row r="516">
          <cell r="E516" t="str">
            <v>C. M¸y</v>
          </cell>
        </row>
        <row r="517">
          <cell r="E517" t="str">
            <v>M¸y trén 250l</v>
          </cell>
        </row>
        <row r="518">
          <cell r="E518" t="str">
            <v>V¸n khu«n b¶n dÉn vµ dÇm ®ì b¶n</v>
          </cell>
        </row>
        <row r="519">
          <cell r="E519" t="str">
            <v>A.VËt liÖu</v>
          </cell>
        </row>
        <row r="520">
          <cell r="E520" t="str">
            <v>Gç v¸n</v>
          </cell>
        </row>
        <row r="521">
          <cell r="E521" t="str">
            <v>§inh</v>
          </cell>
        </row>
        <row r="522">
          <cell r="E522" t="str">
            <v>VËt liÖu kh¸c</v>
          </cell>
        </row>
        <row r="523">
          <cell r="E523" t="str">
            <v>B.Nh©n c«ng</v>
          </cell>
        </row>
        <row r="524">
          <cell r="E524" t="str">
            <v>Nh©n c«ng bËc 3.0/7</v>
          </cell>
        </row>
        <row r="525">
          <cell r="E525" t="str">
            <v>Cèt thÐp b¶n dÉn vµ dÇm ®ì b¶n d=8mm</v>
          </cell>
        </row>
        <row r="526">
          <cell r="E526" t="str">
            <v>A.VËt liÖu</v>
          </cell>
        </row>
        <row r="527">
          <cell r="E527" t="str">
            <v>ThÐp trßn d=8mm</v>
          </cell>
        </row>
        <row r="528">
          <cell r="E528" t="str">
            <v>D©y thÐp</v>
          </cell>
        </row>
        <row r="529">
          <cell r="E529" t="str">
            <v>B.Nh©n c«ng</v>
          </cell>
        </row>
        <row r="530">
          <cell r="E530" t="str">
            <v>Nh©n c«ng bËc 3.5/7</v>
          </cell>
        </row>
        <row r="531">
          <cell r="E531" t="str">
            <v>C. M¸y</v>
          </cell>
        </row>
        <row r="532">
          <cell r="E532" t="str">
            <v>M¸y c¾t uèn cèt thÐp</v>
          </cell>
        </row>
        <row r="533">
          <cell r="E533" t="str">
            <v>Cèt thÐp b¶n dÉn vµ dÇm ®ì b¶n d=10mm</v>
          </cell>
        </row>
        <row r="534">
          <cell r="E534" t="str">
            <v>A.VËt liÖu</v>
          </cell>
        </row>
        <row r="535">
          <cell r="E535" t="str">
            <v>ThÐp trßn d=10mm</v>
          </cell>
        </row>
        <row r="536">
          <cell r="E536" t="str">
            <v>D©y thÐp</v>
          </cell>
        </row>
        <row r="537">
          <cell r="E537" t="str">
            <v>B.Nh©n c«ng</v>
          </cell>
        </row>
        <row r="538">
          <cell r="E538" t="str">
            <v>Nh©n c«ng bËc 3.5/7</v>
          </cell>
        </row>
        <row r="539">
          <cell r="E539" t="str">
            <v>C. M¸y</v>
          </cell>
        </row>
        <row r="540">
          <cell r="E540" t="str">
            <v>M¸y c¾t uèn cèt thÐp</v>
          </cell>
        </row>
        <row r="541">
          <cell r="E541" t="str">
            <v>Cèt thÐp b¶n dÉn vµ dÇm ®ì b¶n d=12mm</v>
          </cell>
        </row>
        <row r="542">
          <cell r="E542" t="str">
            <v>A.VËt liÖu</v>
          </cell>
        </row>
        <row r="543">
          <cell r="E543" t="str">
            <v>ThÐp trßn d=12mm</v>
          </cell>
        </row>
        <row r="544">
          <cell r="E544" t="str">
            <v>D©y thÐp</v>
          </cell>
        </row>
        <row r="545">
          <cell r="E545" t="str">
            <v>Que hµn</v>
          </cell>
        </row>
        <row r="546">
          <cell r="E546" t="str">
            <v>B.Nh©n c«ng</v>
          </cell>
        </row>
        <row r="547">
          <cell r="E547" t="str">
            <v>Nh©n c«ng bËc 3.5/7</v>
          </cell>
        </row>
        <row r="548">
          <cell r="E548" t="str">
            <v>C. M¸y</v>
          </cell>
        </row>
        <row r="549">
          <cell r="E549" t="str">
            <v>M¸y hµn 23KW</v>
          </cell>
        </row>
        <row r="550">
          <cell r="E550" t="str">
            <v>M¸y c¾t uèn cèt thÐp</v>
          </cell>
        </row>
        <row r="551">
          <cell r="E551" t="str">
            <v>Cèt thÐp b¶n dÉn vµ dÇm ®ì b¶n d=14mm</v>
          </cell>
        </row>
        <row r="552">
          <cell r="E552" t="str">
            <v>A.VËt liÖu</v>
          </cell>
        </row>
        <row r="553">
          <cell r="E553" t="str">
            <v>ThÐp trßn d=14mm</v>
          </cell>
        </row>
        <row r="554">
          <cell r="E554" t="str">
            <v>D©y thÐp</v>
          </cell>
        </row>
        <row r="555">
          <cell r="E555" t="str">
            <v>Que hµn</v>
          </cell>
        </row>
        <row r="556">
          <cell r="E556" t="str">
            <v>B.Nh©n c«ng</v>
          </cell>
        </row>
        <row r="557">
          <cell r="E557" t="str">
            <v>Nh©n c«ng bËc 3.5/7</v>
          </cell>
        </row>
        <row r="558">
          <cell r="E558" t="str">
            <v>C. M¸y</v>
          </cell>
        </row>
        <row r="559">
          <cell r="E559" t="str">
            <v>M¸y hµn 23KW</v>
          </cell>
        </row>
        <row r="560">
          <cell r="E560" t="str">
            <v>M¸y c¾t uèn cèt thÐp</v>
          </cell>
        </row>
        <row r="561">
          <cell r="E561" t="str">
            <v>Cèt thÐp b¶n dÉn vµ dÇm ®ì b¶n d=16mm</v>
          </cell>
        </row>
        <row r="562">
          <cell r="E562" t="str">
            <v>A.VËt liÖu</v>
          </cell>
        </row>
        <row r="563">
          <cell r="E563" t="str">
            <v>ThÐp trßn d=16mm</v>
          </cell>
        </row>
        <row r="564">
          <cell r="E564" t="str">
            <v>D©y thÐp</v>
          </cell>
        </row>
        <row r="565">
          <cell r="E565" t="str">
            <v>Que hµn</v>
          </cell>
        </row>
        <row r="566">
          <cell r="E566" t="str">
            <v>B.Nh©n c«ng</v>
          </cell>
        </row>
        <row r="567">
          <cell r="E567" t="str">
            <v>Nh©n c«ng bËc 3.5/7</v>
          </cell>
        </row>
        <row r="568">
          <cell r="E568" t="str">
            <v>C. M¸y</v>
          </cell>
        </row>
        <row r="569">
          <cell r="E569" t="str">
            <v>M¸y hµn 23KW</v>
          </cell>
        </row>
        <row r="570">
          <cell r="E570" t="str">
            <v>M¸y c¾t uèn cèt thÐp</v>
          </cell>
        </row>
        <row r="571">
          <cell r="E571" t="str">
            <v>V÷a lãt mãng M100</v>
          </cell>
        </row>
        <row r="572">
          <cell r="E572" t="str">
            <v>A.VËt liÖu</v>
          </cell>
        </row>
        <row r="573">
          <cell r="E573" t="str">
            <v>V÷a XM M100</v>
          </cell>
        </row>
        <row r="574">
          <cell r="E574" t="str">
            <v>B.Nh©n c«ng</v>
          </cell>
        </row>
        <row r="575">
          <cell r="E575" t="str">
            <v>Nh©n c«ng bËc 3.0/7</v>
          </cell>
        </row>
        <row r="576">
          <cell r="E576" t="str">
            <v>C. M¸y</v>
          </cell>
        </row>
        <row r="577">
          <cell r="E577" t="str">
            <v>M¸y trén 250l</v>
          </cell>
        </row>
        <row r="578">
          <cell r="E578" t="str">
            <v>M¸y ®Çm bµn 1KW</v>
          </cell>
        </row>
        <row r="579">
          <cell r="E579" t="str">
            <v>L¾p ®Æt b¶n dÉn</v>
          </cell>
        </row>
        <row r="580">
          <cell r="E580" t="str">
            <v>B.Nh©n c«ng</v>
          </cell>
        </row>
        <row r="581">
          <cell r="E581" t="str">
            <v>Nh©n c«ng bËc 4,0/7</v>
          </cell>
        </row>
        <row r="582">
          <cell r="E582" t="str">
            <v>C. M¸y</v>
          </cell>
        </row>
        <row r="583">
          <cell r="E583" t="str">
            <v>CÈu 10T</v>
          </cell>
        </row>
        <row r="584">
          <cell r="E584" t="str">
            <v>t­êng hé lan mÒm</v>
          </cell>
        </row>
        <row r="585">
          <cell r="E585" t="str">
            <v>Gia c«ng thanh gi÷a+hai ®Çu hé lan</v>
          </cell>
        </row>
        <row r="586">
          <cell r="E586" t="str">
            <v>(KT 4140x490x3 , 700x490x3) mm</v>
          </cell>
        </row>
        <row r="587">
          <cell r="E587" t="str">
            <v>A.VËt liÖu</v>
          </cell>
        </row>
        <row r="588">
          <cell r="E588" t="str">
            <v>ThÐp tÊm</v>
          </cell>
        </row>
        <row r="589">
          <cell r="E589" t="str">
            <v>Que hµn</v>
          </cell>
        </row>
        <row r="590">
          <cell r="E590" t="str">
            <v>¤xy</v>
          </cell>
        </row>
        <row r="591">
          <cell r="E591" t="str">
            <v>§Êt ®Ìn</v>
          </cell>
        </row>
        <row r="592">
          <cell r="E592" t="str">
            <v>B.Nh©n c«ng</v>
          </cell>
        </row>
        <row r="593">
          <cell r="E593" t="str">
            <v>Nh©n c«ng bËc 3.5/7</v>
          </cell>
        </row>
        <row r="594">
          <cell r="E594" t="str">
            <v>C. M¸y</v>
          </cell>
        </row>
        <row r="595">
          <cell r="E595" t="str">
            <v>M¸y hµn 23KW</v>
          </cell>
        </row>
        <row r="596">
          <cell r="E596" t="str">
            <v>Khoan lç thÐp</v>
          </cell>
        </row>
        <row r="597">
          <cell r="E597" t="str">
            <v>B.Nh©n c«ng</v>
          </cell>
        </row>
        <row r="598">
          <cell r="E598" t="str">
            <v>Nh©n c«ng bËc 4,0/7</v>
          </cell>
        </row>
        <row r="599">
          <cell r="E599" t="str">
            <v>NC khoan 0,0169c x 2,119</v>
          </cell>
        </row>
        <row r="600">
          <cell r="E600" t="str">
            <v>NC lÊy dÊu 0,009 c (3097a/1479)</v>
          </cell>
        </row>
        <row r="601">
          <cell r="E601" t="str">
            <v>C. M¸y</v>
          </cell>
        </row>
        <row r="602">
          <cell r="E602" t="str">
            <v>M¸y khoan</v>
          </cell>
        </row>
        <row r="603">
          <cell r="E603" t="str">
            <v>S¬n chèng rØ</v>
          </cell>
        </row>
        <row r="604">
          <cell r="E604" t="str">
            <v>A.VËt liÖu</v>
          </cell>
        </row>
        <row r="605">
          <cell r="E605" t="str">
            <v>S¬n</v>
          </cell>
        </row>
        <row r="606">
          <cell r="E606" t="str">
            <v>B.Nh©n c«ng</v>
          </cell>
        </row>
        <row r="607">
          <cell r="E607" t="str">
            <v>Nh©n c«ng bËc 3.5/7</v>
          </cell>
        </row>
        <row r="608">
          <cell r="E608" t="str">
            <v>S¬n mµu 3 líp</v>
          </cell>
        </row>
        <row r="609">
          <cell r="E609" t="str">
            <v>A.VËt liÖu</v>
          </cell>
        </row>
        <row r="610">
          <cell r="E610" t="str">
            <v>S¬n</v>
          </cell>
        </row>
        <row r="611">
          <cell r="E611" t="str">
            <v>B.Nh©n c«ng</v>
          </cell>
        </row>
        <row r="612">
          <cell r="E612" t="str">
            <v>Nh©n c«ng bËc 3.5/7</v>
          </cell>
        </row>
        <row r="613">
          <cell r="E613" t="str">
            <v>Gia c«ng thÐp cét hé lan</v>
          </cell>
        </row>
        <row r="614">
          <cell r="E614" t="str">
            <v>KT 2x(150x15x15) , 2x(36x15x15) cm</v>
          </cell>
        </row>
        <row r="615">
          <cell r="E615" t="str">
            <v>A.VËt liÖu</v>
          </cell>
        </row>
        <row r="616">
          <cell r="E616" t="str">
            <v>ThÐp h×nh</v>
          </cell>
        </row>
        <row r="617">
          <cell r="E617" t="str">
            <v>Que hµn</v>
          </cell>
        </row>
        <row r="618">
          <cell r="E618" t="str">
            <v>¤xy</v>
          </cell>
        </row>
        <row r="619">
          <cell r="E619" t="str">
            <v>§Êt ®Ìn</v>
          </cell>
        </row>
        <row r="620">
          <cell r="E620" t="str">
            <v>B.Nh©n c«ng</v>
          </cell>
        </row>
        <row r="621">
          <cell r="E621" t="str">
            <v>Nh©n c«ng bËc 3.5/7</v>
          </cell>
        </row>
        <row r="622">
          <cell r="E622" t="str">
            <v>C. M¸y</v>
          </cell>
        </row>
        <row r="623">
          <cell r="E623" t="str">
            <v>M¸y hµn 23KW</v>
          </cell>
        </row>
        <row r="624">
          <cell r="E624" t="str">
            <v>Gia c«ng thÐp neo</v>
          </cell>
        </row>
        <row r="625">
          <cell r="E625" t="str">
            <v>A.VËt liÖu</v>
          </cell>
        </row>
        <row r="626">
          <cell r="E626" t="str">
            <v>ThÐp h×nh</v>
          </cell>
        </row>
        <row r="627">
          <cell r="E627" t="str">
            <v>Que hµn</v>
          </cell>
        </row>
        <row r="628">
          <cell r="E628" t="str">
            <v>¤xy</v>
          </cell>
        </row>
        <row r="629">
          <cell r="E629" t="str">
            <v>§Êt ®Ìn</v>
          </cell>
        </row>
        <row r="630">
          <cell r="E630" t="str">
            <v>B.Nh©n c«ng</v>
          </cell>
        </row>
        <row r="631">
          <cell r="E631" t="str">
            <v>Nh©n c«ng bËc 3.5/7</v>
          </cell>
        </row>
        <row r="632">
          <cell r="E632" t="str">
            <v>C. M¸y</v>
          </cell>
        </row>
        <row r="633">
          <cell r="E633" t="str">
            <v>M¸y hµn 23KW</v>
          </cell>
        </row>
        <row r="634">
          <cell r="E634" t="str">
            <v>BT mãng M150 ®¸ 4x6</v>
          </cell>
        </row>
        <row r="635">
          <cell r="E635" t="str">
            <v>A.VËt liÖu</v>
          </cell>
        </row>
        <row r="636">
          <cell r="E636" t="str">
            <v>V÷a BT M150 ®¸ 4x6</v>
          </cell>
        </row>
        <row r="637">
          <cell r="E637" t="str">
            <v>B.Nh©n c«ng</v>
          </cell>
        </row>
        <row r="638">
          <cell r="E638" t="str">
            <v>Nh©n c«ng bËc 3.0/7</v>
          </cell>
        </row>
        <row r="639">
          <cell r="E639" t="str">
            <v>C. M¸y</v>
          </cell>
        </row>
        <row r="640">
          <cell r="E640" t="str">
            <v>M¸y trén 250l</v>
          </cell>
        </row>
        <row r="641">
          <cell r="E641" t="str">
            <v>M¸y ®Çm dïi1.5KW</v>
          </cell>
        </row>
        <row r="642">
          <cell r="E642" t="str">
            <v>V¸n khu«n mãng</v>
          </cell>
        </row>
        <row r="643">
          <cell r="E643" t="str">
            <v>A.VËt liÖu</v>
          </cell>
        </row>
        <row r="644">
          <cell r="E644" t="str">
            <v>Gç v¸n</v>
          </cell>
        </row>
        <row r="645">
          <cell r="E645" t="str">
            <v>§inh</v>
          </cell>
        </row>
        <row r="646">
          <cell r="E646" t="str">
            <v>VËt liÖu kh¸c</v>
          </cell>
        </row>
        <row r="647">
          <cell r="E647" t="str">
            <v>B.Nh©n c«ng</v>
          </cell>
        </row>
        <row r="648">
          <cell r="E648" t="str">
            <v>Nh©n c«ng bËc 3.5/7</v>
          </cell>
        </row>
        <row r="649">
          <cell r="E649" t="str">
            <v>§µo ®Êt mãng hé lan</v>
          </cell>
        </row>
        <row r="650">
          <cell r="E650" t="str">
            <v>B.Nh©n c«ng</v>
          </cell>
        </row>
        <row r="651">
          <cell r="E651" t="str">
            <v>Nh©n c«ng bËc 2.7/7</v>
          </cell>
        </row>
        <row r="652">
          <cell r="E652" t="str">
            <v>§¾p ®Êt mãng ®Êt cÊp 3</v>
          </cell>
        </row>
        <row r="653">
          <cell r="E653" t="str">
            <v>B.Nh©n c«ng</v>
          </cell>
        </row>
        <row r="654">
          <cell r="E654" t="str">
            <v>Nh©n c«ng bËc 3.0/7</v>
          </cell>
        </row>
        <row r="655">
          <cell r="E655" t="str">
            <v>Ch«n cét hé lan</v>
          </cell>
        </row>
        <row r="656">
          <cell r="E656" t="str">
            <v>B.Nh©n c«ng</v>
          </cell>
        </row>
        <row r="657">
          <cell r="E657" t="str">
            <v>Nh©n c«ng bËc 4,5/7</v>
          </cell>
        </row>
        <row r="658">
          <cell r="E658" t="str">
            <v>§­êng hµn d=8mm</v>
          </cell>
        </row>
        <row r="659">
          <cell r="E659" t="str">
            <v>A.VËt liÖu</v>
          </cell>
        </row>
        <row r="660">
          <cell r="E660" t="str">
            <v>Que hµn</v>
          </cell>
        </row>
        <row r="661">
          <cell r="E661" t="str">
            <v>B.Nh©n c«ng</v>
          </cell>
        </row>
        <row r="662">
          <cell r="E662" t="str">
            <v>Nh©n c«ng bËc 4,0/7</v>
          </cell>
        </row>
        <row r="663">
          <cell r="E663" t="str">
            <v>C. M¸y</v>
          </cell>
        </row>
        <row r="664">
          <cell r="E664" t="str">
            <v>M¸y hµn 23KW</v>
          </cell>
        </row>
        <row r="665">
          <cell r="E665" t="str">
            <v>L¾p dùng t­êng hé lan</v>
          </cell>
        </row>
        <row r="666">
          <cell r="E666" t="str">
            <v>B.Nh©n c«ng</v>
          </cell>
        </row>
        <row r="667">
          <cell r="E667" t="str">
            <v>Nh©n c«ng bËc 4,5/7</v>
          </cell>
        </row>
        <row r="668">
          <cell r="E668" t="str">
            <v>Bª t«ng mÆt b»ng b·i chøa VL M100</v>
          </cell>
        </row>
        <row r="669">
          <cell r="E669" t="str">
            <v>A.VËt liÖu</v>
          </cell>
        </row>
        <row r="670">
          <cell r="E670" t="str">
            <v>V÷a BT M100 ®¸ 2x4</v>
          </cell>
        </row>
        <row r="671">
          <cell r="E671" t="str">
            <v>VËt liÖu kh¸c</v>
          </cell>
        </row>
        <row r="672">
          <cell r="E672" t="str">
            <v>B.Nh©n c«ng</v>
          </cell>
        </row>
        <row r="673">
          <cell r="E673" t="str">
            <v>Nh©n c«ng bËc 3.0/7</v>
          </cell>
        </row>
        <row r="674">
          <cell r="E674" t="str">
            <v>C. M¸y</v>
          </cell>
        </row>
        <row r="675">
          <cell r="E675" t="str">
            <v>M¸y trén 250l</v>
          </cell>
        </row>
        <row r="676">
          <cell r="E676" t="str">
            <v>M¸y ®Çm bµn 1KW</v>
          </cell>
        </row>
        <row r="677">
          <cell r="E677" t="str">
            <v xml:space="preserve">Cèng t¹m d=100cm </v>
          </cell>
        </row>
        <row r="678">
          <cell r="E678" t="str">
            <v>a. VËt liÖu</v>
          </cell>
        </row>
        <row r="679">
          <cell r="E679" t="str">
            <v>Bª t«ng èng cèng M200</v>
          </cell>
        </row>
        <row r="680">
          <cell r="E680" t="str">
            <v>V¸n khu«n ®æ BT èng cèng</v>
          </cell>
        </row>
        <row r="681">
          <cell r="E681" t="str">
            <v>ThÐp trßn</v>
          </cell>
        </row>
        <row r="682">
          <cell r="E682" t="str">
            <v>ThÐp h×nh</v>
          </cell>
        </row>
        <row r="683">
          <cell r="E683" t="str">
            <v>Que hµn</v>
          </cell>
        </row>
        <row r="684">
          <cell r="E684" t="str">
            <v>ThÐp trßn d=6mm</v>
          </cell>
        </row>
        <row r="685">
          <cell r="E685" t="str">
            <v>ThÐp trßn d=10mm</v>
          </cell>
        </row>
        <row r="686">
          <cell r="E686" t="str">
            <v>D©y thÐp</v>
          </cell>
        </row>
        <row r="687">
          <cell r="E687" t="str">
            <v>b. Nh©n c«ng</v>
          </cell>
        </row>
        <row r="688">
          <cell r="E688" t="str">
            <v>Nh©n c«ng bËc 3.5/7 (®æ bª t«ng)</v>
          </cell>
        </row>
        <row r="689">
          <cell r="E689" t="str">
            <v>Nh©n c«ng bËc 4,0/7 (LD v¸n khu«n)</v>
          </cell>
        </row>
        <row r="690">
          <cell r="E690" t="str">
            <v>Nh©n c«ng bËc 4,0/7( Gia c«ng thÐp)</v>
          </cell>
        </row>
        <row r="691">
          <cell r="E691" t="str">
            <v>c. M¸y thi c«ng</v>
          </cell>
        </row>
        <row r="692">
          <cell r="E692" t="str">
            <v>M¸y trén 250l( ®æ bª t«ng)</v>
          </cell>
        </row>
        <row r="693">
          <cell r="E693" t="str">
            <v>M¸y hµn 23KW( LD v¸n khu«n)</v>
          </cell>
        </row>
        <row r="694">
          <cell r="E694" t="str">
            <v>M¸y c¾t uèn cèt thÐp (Gia c«ng thÐp)</v>
          </cell>
        </row>
        <row r="695">
          <cell r="E695" t="str">
            <v>L¾p ®Æt èng cèng d=100</v>
          </cell>
        </row>
        <row r="696">
          <cell r="E696" t="str">
            <v>b. Nh©n c«ng</v>
          </cell>
        </row>
        <row r="697">
          <cell r="E697" t="str">
            <v>Nh©n c«ng bËc 3.0/7</v>
          </cell>
        </row>
        <row r="698">
          <cell r="E698" t="str">
            <v>c. M¸y thi c«ng</v>
          </cell>
        </row>
        <row r="699">
          <cell r="E699" t="str">
            <v>CÈu 5T</v>
          </cell>
        </row>
        <row r="700">
          <cell r="E700" t="str">
            <v>Bªt«ng bÖ ®óc + BÖ chøa M250</v>
          </cell>
        </row>
        <row r="701">
          <cell r="E701" t="str">
            <v>A.VËt liÖu</v>
          </cell>
        </row>
        <row r="702">
          <cell r="E702" t="str">
            <v>V÷a BT M250 ®¸ 4x6</v>
          </cell>
        </row>
        <row r="703">
          <cell r="E703" t="str">
            <v>Gç v¸n</v>
          </cell>
        </row>
        <row r="704">
          <cell r="E704" t="str">
            <v>§inh</v>
          </cell>
        </row>
        <row r="705">
          <cell r="E705" t="str">
            <v>§inh ®Üa</v>
          </cell>
        </row>
        <row r="706">
          <cell r="E706" t="str">
            <v>VËt liÖu kh¸c</v>
          </cell>
        </row>
        <row r="707">
          <cell r="E707" t="str">
            <v>B.Nh©n c«ng</v>
          </cell>
        </row>
        <row r="708">
          <cell r="E708" t="str">
            <v>Nh©n c«ng bËc 3.0/7</v>
          </cell>
        </row>
        <row r="709">
          <cell r="E709" t="str">
            <v>C. M¸y</v>
          </cell>
        </row>
        <row r="710">
          <cell r="E710" t="str">
            <v>M¸y trén 250l</v>
          </cell>
        </row>
        <row r="711">
          <cell r="E711" t="str">
            <v>M¸y ®Çm dïi1.5KW</v>
          </cell>
        </row>
        <row r="712">
          <cell r="E712" t="str">
            <v>R¶i th¸o v¸n sµn (LC 4 lÇn)</v>
          </cell>
        </row>
        <row r="713">
          <cell r="E713" t="str">
            <v>B.Nh©n c«ng</v>
          </cell>
        </row>
        <row r="714">
          <cell r="E714" t="str">
            <v>Nh©n c«ng bËc 3.5/7</v>
          </cell>
        </row>
        <row r="715">
          <cell r="E715" t="str">
            <v>V¸n khu«n ®æ BT bÖ ®óc dÇm</v>
          </cell>
        </row>
        <row r="716">
          <cell r="E716" t="str">
            <v>A.VËt liÖu</v>
          </cell>
        </row>
        <row r="717">
          <cell r="E717" t="str">
            <v>Gç v¸n</v>
          </cell>
        </row>
        <row r="718">
          <cell r="E718" t="str">
            <v>Gç ®µ nÑp</v>
          </cell>
        </row>
        <row r="719">
          <cell r="E719" t="str">
            <v>Gç chèng</v>
          </cell>
        </row>
        <row r="720">
          <cell r="E720" t="str">
            <v>§inh</v>
          </cell>
        </row>
        <row r="721">
          <cell r="E721" t="str">
            <v>VËt liÖu kh¸c</v>
          </cell>
        </row>
        <row r="722">
          <cell r="E722" t="str">
            <v>B.Nh©n c«ng</v>
          </cell>
        </row>
        <row r="723">
          <cell r="E723" t="str">
            <v>Nh©n c«ng bËc 3.5/7</v>
          </cell>
        </row>
        <row r="724">
          <cell r="E724" t="str">
            <v>§¸ héc xÕp chèng lón</v>
          </cell>
        </row>
        <row r="725">
          <cell r="E725" t="str">
            <v>A.VËt liÖu</v>
          </cell>
        </row>
        <row r="726">
          <cell r="E726" t="str">
            <v>§¸ héc</v>
          </cell>
        </row>
        <row r="727">
          <cell r="E727" t="str">
            <v>B.Nh©n c«ng</v>
          </cell>
        </row>
        <row r="728">
          <cell r="E728" t="str">
            <v>Nh©n c«ng bËc 3.5/7</v>
          </cell>
        </row>
        <row r="729">
          <cell r="E729" t="str">
            <v>èng nhùa d=60</v>
          </cell>
        </row>
        <row r="730">
          <cell r="E730" t="str">
            <v>A.VËt liÖu</v>
          </cell>
        </row>
        <row r="731">
          <cell r="E731" t="str">
            <v xml:space="preserve">èng nhùa </v>
          </cell>
        </row>
        <row r="732">
          <cell r="E732" t="str">
            <v>B.Nh©n c«ng</v>
          </cell>
        </row>
        <row r="733">
          <cell r="E733" t="str">
            <v>Nh©n c«ng bËc 3.0/7</v>
          </cell>
        </row>
        <row r="734">
          <cell r="E734" t="str">
            <v>G/c«ng CT bÖ ®óc F=8mm</v>
          </cell>
        </row>
        <row r="735">
          <cell r="E735" t="str">
            <v>A.VËt liÖu</v>
          </cell>
        </row>
        <row r="736">
          <cell r="E736" t="str">
            <v>ThÐp trßn d=8mm</v>
          </cell>
        </row>
        <row r="737">
          <cell r="E737" t="str">
            <v>D©y thÐp</v>
          </cell>
        </row>
        <row r="738">
          <cell r="E738" t="str">
            <v>B.Nh©n c«ng</v>
          </cell>
        </row>
        <row r="739">
          <cell r="E739" t="str">
            <v>Nh©n c«ng bËc 3.5/7</v>
          </cell>
        </row>
        <row r="740">
          <cell r="E740" t="str">
            <v>C. M¸y</v>
          </cell>
        </row>
        <row r="741">
          <cell r="E741" t="str">
            <v>M¸y c¾t uèn cèt thÐp</v>
          </cell>
        </row>
        <row r="742">
          <cell r="E742" t="str">
            <v>G/c«ng CT bÖ ®óc + bÖ chøa F=10mm</v>
          </cell>
        </row>
        <row r="743">
          <cell r="E743" t="str">
            <v>A.VËt liÖu</v>
          </cell>
        </row>
        <row r="744">
          <cell r="E744" t="str">
            <v>ThÐp trßn d=10mm</v>
          </cell>
        </row>
        <row r="745">
          <cell r="E745" t="str">
            <v>D©y thÐp</v>
          </cell>
        </row>
        <row r="746">
          <cell r="E746" t="str">
            <v>B.Nh©n c«ng</v>
          </cell>
        </row>
        <row r="747">
          <cell r="E747" t="str">
            <v>Nh©n c«ng bËc 3.5/7</v>
          </cell>
        </row>
        <row r="748">
          <cell r="E748" t="str">
            <v>C. M¸y</v>
          </cell>
        </row>
        <row r="749">
          <cell r="E749" t="str">
            <v>M¸y c¾t uèn cèt thÐp</v>
          </cell>
        </row>
        <row r="750">
          <cell r="E750" t="str">
            <v>G/c«ng CT bÖ chøa F=14mm</v>
          </cell>
        </row>
        <row r="751">
          <cell r="E751" t="str">
            <v>A.VËt liÖu</v>
          </cell>
        </row>
        <row r="752">
          <cell r="E752" t="str">
            <v>ThÐp trßn d=14mm</v>
          </cell>
        </row>
        <row r="753">
          <cell r="E753" t="str">
            <v>D©y thÐp</v>
          </cell>
        </row>
        <row r="754">
          <cell r="E754" t="str">
            <v>Que hµn</v>
          </cell>
        </row>
        <row r="755">
          <cell r="E755" t="str">
            <v>B.Nh©n c«ng</v>
          </cell>
        </row>
        <row r="756">
          <cell r="E756" t="str">
            <v>Nh©n c«ng bËc 3.5/7</v>
          </cell>
        </row>
        <row r="757">
          <cell r="E757" t="str">
            <v>C. M¸y</v>
          </cell>
        </row>
        <row r="758">
          <cell r="E758" t="str">
            <v>M¸y hµn 23KW</v>
          </cell>
        </row>
        <row r="759">
          <cell r="E759" t="str">
            <v>M¸y c¾t uèn cèt thÐp</v>
          </cell>
        </row>
        <row r="760">
          <cell r="E760" t="str">
            <v>L¸ng v÷a xim¨ng d=4cm M100</v>
          </cell>
        </row>
        <row r="761">
          <cell r="E761" t="str">
            <v>A.VËt liÖu</v>
          </cell>
        </row>
        <row r="762">
          <cell r="E762" t="str">
            <v>V÷a XM M100</v>
          </cell>
        </row>
        <row r="763">
          <cell r="E763" t="str">
            <v>B.Nh©n c«ng</v>
          </cell>
        </row>
        <row r="764">
          <cell r="E764" t="str">
            <v>Nh©n c«ng bËc 3,7/7</v>
          </cell>
        </row>
        <row r="765">
          <cell r="E765" t="str">
            <v>C. M¸y</v>
          </cell>
        </row>
        <row r="766">
          <cell r="E766" t="str">
            <v>M¸y trén v÷a 80l</v>
          </cell>
        </row>
        <row r="767">
          <cell r="E767" t="str">
            <v>Gèi cao su</v>
          </cell>
        </row>
        <row r="768">
          <cell r="E768" t="str">
            <v>A.VËt liÖu</v>
          </cell>
        </row>
        <row r="769">
          <cell r="E769" t="str">
            <v>Gèi cao su</v>
          </cell>
        </row>
        <row r="770">
          <cell r="E770" t="str">
            <v xml:space="preserve"> V©t liÖu kh¸c</v>
          </cell>
        </row>
        <row r="771">
          <cell r="E771" t="str">
            <v>B.Nh©n c«ng</v>
          </cell>
        </row>
        <row r="772">
          <cell r="E772" t="str">
            <v>Nh©n c«ng bËc 3.5/7</v>
          </cell>
        </row>
        <row r="773">
          <cell r="E773" t="str">
            <v>M¸y b¬m n­íc 75cv.</v>
          </cell>
        </row>
        <row r="774">
          <cell r="E774" t="str">
            <v>C. M¸y</v>
          </cell>
        </row>
        <row r="775">
          <cell r="E775" t="str">
            <v>M¸y b¬m n­íc 75cv</v>
          </cell>
        </row>
        <row r="776">
          <cell r="E776" t="str">
            <v>San ®Çm mÆt b»ng</v>
          </cell>
        </row>
        <row r="777">
          <cell r="E777" t="str">
            <v>C. M¸y</v>
          </cell>
        </row>
        <row r="778">
          <cell r="E778" t="str">
            <v>M¸y ®Çm 25T</v>
          </cell>
        </row>
        <row r="779">
          <cell r="E779" t="str">
            <v>M¸y ñi 110cv</v>
          </cell>
        </row>
        <row r="780">
          <cell r="E780" t="str">
            <v>BiÓn b¸o tªn cÇu</v>
          </cell>
        </row>
        <row r="781">
          <cell r="E781" t="str">
            <v>A.VËt liÖu</v>
          </cell>
        </row>
        <row r="782">
          <cell r="E782" t="str">
            <v>BiÓn b¸o</v>
          </cell>
        </row>
        <row r="783">
          <cell r="E783" t="str">
            <v>Trô biÓn b¸o</v>
          </cell>
        </row>
        <row r="784">
          <cell r="E784" t="str">
            <v>V÷a BT M150 ®¸ 4x6 (1,025x0,125)</v>
          </cell>
        </row>
        <row r="785">
          <cell r="E785" t="str">
            <v>VËt liÖu kh¸c</v>
          </cell>
        </row>
        <row r="786">
          <cell r="E786" t="str">
            <v>B.Nh©n c«ng</v>
          </cell>
        </row>
        <row r="787">
          <cell r="E787" t="str">
            <v>Nh©n c«ng bËc 4,5/7</v>
          </cell>
        </row>
        <row r="788">
          <cell r="E788" t="str">
            <v>Nh©n c«ng bËc 3.5/7</v>
          </cell>
        </row>
        <row r="789">
          <cell r="E789" t="str">
            <v>NC ch«n biÓn b¸o : 2,4 c«ng 4,5/7</v>
          </cell>
        </row>
        <row r="790">
          <cell r="E790" t="str">
            <v>NC ®æ BT mãng : 1,64c x 0,125 bËc 3,5/7</v>
          </cell>
        </row>
        <row r="791">
          <cell r="E791" t="str">
            <v>c. M¸y thi c«ng</v>
          </cell>
        </row>
        <row r="792">
          <cell r="E792" t="str">
            <v>M¸y trén 250l</v>
          </cell>
        </row>
        <row r="793">
          <cell r="E793" t="str">
            <v>M¸y ®Çm dïi1.5KW</v>
          </cell>
        </row>
        <row r="794">
          <cell r="E794" t="str">
            <v>L§ thÐp h×nh</v>
          </cell>
        </row>
        <row r="795">
          <cell r="E795" t="str">
            <v>A.VËt liÖu</v>
          </cell>
        </row>
        <row r="796">
          <cell r="E796" t="str">
            <v>ThÐp gãc</v>
          </cell>
        </row>
        <row r="797">
          <cell r="E797" t="str">
            <v>Que hµn</v>
          </cell>
        </row>
        <row r="798">
          <cell r="E798" t="str">
            <v>VËt liÖu kh¸c</v>
          </cell>
        </row>
        <row r="799">
          <cell r="E799" t="str">
            <v>B.Nh©n c«ng</v>
          </cell>
        </row>
        <row r="800">
          <cell r="E800" t="str">
            <v>Nh©n c«ng bËc 3.5/7</v>
          </cell>
        </row>
        <row r="801">
          <cell r="E801" t="str">
            <v>C. M¸y</v>
          </cell>
        </row>
        <row r="802">
          <cell r="E802" t="str">
            <v>M¸y hµn 23KW</v>
          </cell>
        </row>
        <row r="803">
          <cell r="E803" t="str">
            <v>Lµm vµ th¶ rä ®¸ d­íi n­íc</v>
          </cell>
        </row>
        <row r="804">
          <cell r="E804" t="str">
            <v>A.VËt liÖu</v>
          </cell>
        </row>
        <row r="805">
          <cell r="E805" t="str">
            <v>D©y thÐp d=3mm</v>
          </cell>
        </row>
        <row r="806">
          <cell r="E806" t="str">
            <v>§¸ héc</v>
          </cell>
        </row>
        <row r="807">
          <cell r="E807" t="str">
            <v>(§¸ héc thu håi 50% 0,8m3*0,5=0,4m3</v>
          </cell>
        </row>
        <row r="808">
          <cell r="E808" t="str">
            <v>B.Nh©n c«ng</v>
          </cell>
        </row>
        <row r="809">
          <cell r="E809" t="str">
            <v>Nh©n c«ng bËc 3.5/7</v>
          </cell>
        </row>
        <row r="810">
          <cell r="E810" t="str">
            <v>Lµm vµ th¶ rä ®¸ trªn c¹n</v>
          </cell>
        </row>
        <row r="811">
          <cell r="E811" t="str">
            <v>A.VËt liÖu</v>
          </cell>
        </row>
        <row r="812">
          <cell r="E812" t="str">
            <v>D©y thÐp d=3mm</v>
          </cell>
        </row>
        <row r="813">
          <cell r="E813" t="str">
            <v>§¸ héc</v>
          </cell>
        </row>
        <row r="814">
          <cell r="E814" t="str">
            <v>(§¸ héc thu håi 50% 1.1m3/2=0,55m3</v>
          </cell>
        </row>
        <row r="815">
          <cell r="E815" t="str">
            <v>B.Nh©n c«ng</v>
          </cell>
        </row>
        <row r="816">
          <cell r="E816" t="str">
            <v>Nh©n c«ng bËc 3.5/7</v>
          </cell>
        </row>
        <row r="817">
          <cell r="E817" t="str">
            <v>TD rä ®¸ d­íi n­íc (70%c«ngL§)</v>
          </cell>
        </row>
        <row r="818">
          <cell r="E818" t="str">
            <v>B.Nh©n c«ng</v>
          </cell>
        </row>
        <row r="819">
          <cell r="E819" t="str">
            <v>Nh©n c«ng bËc 3.5/7</v>
          </cell>
        </row>
        <row r="820">
          <cell r="E820" t="str">
            <v>(Lu©n chuyÓn 4 lÇn : 2,54c«ng/rä*4lÇn*0,7)</v>
          </cell>
        </row>
        <row r="821">
          <cell r="E821" t="str">
            <v>Th¸o dì rä ®¸ trªn c¹n ( 70% c«ng L§)</v>
          </cell>
        </row>
        <row r="822">
          <cell r="E822" t="str">
            <v>B.Nh©n c«ng</v>
          </cell>
        </row>
        <row r="823">
          <cell r="E823" t="str">
            <v>Nh©n c«ng bËc 3.5/7</v>
          </cell>
        </row>
        <row r="824">
          <cell r="E824" t="str">
            <v>(2,4c«ng/rä *2 lÇn *0,7)</v>
          </cell>
        </row>
        <row r="825">
          <cell r="E825" t="str">
            <v>L¾p ®Æt thÐp b¶n</v>
          </cell>
        </row>
        <row r="826">
          <cell r="E826" t="str">
            <v>A.VËt liÖu</v>
          </cell>
        </row>
        <row r="827">
          <cell r="E827" t="str">
            <v>ThÐp b¶n</v>
          </cell>
        </row>
        <row r="828">
          <cell r="E828" t="str">
            <v>Que hµn</v>
          </cell>
        </row>
        <row r="829">
          <cell r="E829" t="str">
            <v>VËt liÖu kh¸c</v>
          </cell>
        </row>
        <row r="830">
          <cell r="E830" t="str">
            <v>B.Nh©n c«ng</v>
          </cell>
        </row>
        <row r="831">
          <cell r="E831" t="str">
            <v>Nh©n c«ng bËc 3.5/7</v>
          </cell>
        </row>
        <row r="832">
          <cell r="E832" t="str">
            <v>C. M¸y</v>
          </cell>
        </row>
        <row r="833">
          <cell r="E833" t="str">
            <v>M¸y hµn 23KW</v>
          </cell>
        </row>
        <row r="834">
          <cell r="E834" t="str">
            <v xml:space="preserve">DÇm DUL M400 </v>
          </cell>
        </row>
        <row r="835">
          <cell r="E835" t="str">
            <v>A.VËt liÖu</v>
          </cell>
        </row>
        <row r="836">
          <cell r="E836" t="str">
            <v>V÷a BT M400 ®¸ 1x2 ®é sôt 14-17</v>
          </cell>
        </row>
        <row r="837">
          <cell r="E837" t="str">
            <v>VËt liÖu kh¸c</v>
          </cell>
        </row>
        <row r="838">
          <cell r="E838" t="str">
            <v>B.Nh©n c«ng</v>
          </cell>
        </row>
        <row r="839">
          <cell r="E839" t="str">
            <v>Nh©n c«ng bËc 4,0/7</v>
          </cell>
        </row>
        <row r="840">
          <cell r="E840" t="str">
            <v>C. M¸y</v>
          </cell>
        </row>
        <row r="841">
          <cell r="E841" t="str">
            <v>M¸y trén 250l</v>
          </cell>
        </row>
        <row r="842">
          <cell r="E842" t="str">
            <v>M¸y ®Çm dïi1.5KW</v>
          </cell>
        </row>
        <row r="843">
          <cell r="E843" t="str">
            <v>M¸y ®Çm bµn 1KW</v>
          </cell>
        </row>
        <row r="844">
          <cell r="E844" t="str">
            <v>M¸y kh¸c</v>
          </cell>
        </row>
        <row r="845">
          <cell r="E845" t="str">
            <v xml:space="preserve">BT mèi nèi  M400 </v>
          </cell>
        </row>
        <row r="846">
          <cell r="E846" t="str">
            <v>A.VËt liÖu</v>
          </cell>
        </row>
        <row r="847">
          <cell r="E847" t="str">
            <v>V÷a BT M400 ®¸ 1x2 ®é sôt 14-17</v>
          </cell>
        </row>
        <row r="848">
          <cell r="E848" t="str">
            <v>VËt liÖu kh¸c</v>
          </cell>
        </row>
        <row r="849">
          <cell r="E849" t="str">
            <v>B.Nh©n c«ng</v>
          </cell>
        </row>
        <row r="850">
          <cell r="E850" t="str">
            <v>Nh©n c«ng bËc 3.5/7</v>
          </cell>
        </row>
        <row r="851">
          <cell r="E851" t="str">
            <v>C. M¸y</v>
          </cell>
        </row>
        <row r="852">
          <cell r="E852" t="str">
            <v>M¸y trén 250l</v>
          </cell>
        </row>
        <row r="853">
          <cell r="E853" t="str">
            <v>M¸y ®Çm dïi1.5KW</v>
          </cell>
        </row>
        <row r="854">
          <cell r="E854" t="str">
            <v>M¸y kh¸c</v>
          </cell>
        </row>
        <row r="855">
          <cell r="E855" t="str">
            <v>V¸n khu«n thÐp ®óc dÇm DUL</v>
          </cell>
        </row>
        <row r="856">
          <cell r="E856" t="str">
            <v>A.VËt liÖu</v>
          </cell>
        </row>
        <row r="857">
          <cell r="E857" t="str">
            <v>ThÐp trßn</v>
          </cell>
        </row>
        <row r="858">
          <cell r="E858" t="str">
            <v>ThÐp h×nh</v>
          </cell>
        </row>
        <row r="859">
          <cell r="E859" t="str">
            <v>Que hµn</v>
          </cell>
        </row>
        <row r="860">
          <cell r="E860" t="str">
            <v>¤xy</v>
          </cell>
        </row>
        <row r="861">
          <cell r="E861" t="str">
            <v>§Êt ®Ìn</v>
          </cell>
        </row>
        <row r="862">
          <cell r="E862" t="str">
            <v>T¨ng ®¬</v>
          </cell>
        </row>
        <row r="863">
          <cell r="E863" t="str">
            <v>DÇu b«i tr¬n</v>
          </cell>
        </row>
        <row r="864">
          <cell r="E864" t="str">
            <v>Bul«ng M28x105</v>
          </cell>
        </row>
        <row r="865">
          <cell r="E865" t="str">
            <v>VËt liÖu kh¸c</v>
          </cell>
        </row>
        <row r="866">
          <cell r="E866" t="str">
            <v>B.Nh©n c«ng</v>
          </cell>
        </row>
        <row r="867">
          <cell r="E867" t="str">
            <v>Nh©n c«ng bËc 4,5/7</v>
          </cell>
        </row>
        <row r="868">
          <cell r="E868" t="str">
            <v>C. M¸y</v>
          </cell>
        </row>
        <row r="869">
          <cell r="E869" t="str">
            <v>M¸y hµn 23KW</v>
          </cell>
        </row>
        <row r="870">
          <cell r="E870" t="str">
            <v>M¸y c¾t thÐp</v>
          </cell>
        </row>
        <row r="871">
          <cell r="E871" t="str">
            <v>Têi ®iÖn 5T</v>
          </cell>
        </row>
        <row r="872">
          <cell r="E872" t="str">
            <v>CÈu 16T</v>
          </cell>
        </row>
        <row r="873">
          <cell r="E873" t="str">
            <v>M¸y kh¸c</v>
          </cell>
        </row>
        <row r="874">
          <cell r="E874" t="str">
            <v>G/c«ng CT dÇm F=6mm</v>
          </cell>
        </row>
        <row r="875">
          <cell r="E875" t="str">
            <v>A.VËt liÖu</v>
          </cell>
        </row>
        <row r="876">
          <cell r="E876" t="str">
            <v>ThÐp trßn d=6mm</v>
          </cell>
        </row>
        <row r="877">
          <cell r="E877" t="str">
            <v>D©y thÐp</v>
          </cell>
        </row>
        <row r="878">
          <cell r="E878" t="str">
            <v>Que hµn</v>
          </cell>
        </row>
        <row r="879">
          <cell r="E879" t="str">
            <v>B.Nh©n c«ng</v>
          </cell>
        </row>
        <row r="880">
          <cell r="E880" t="str">
            <v>Nh©n c«ng bËc 4,0/7</v>
          </cell>
        </row>
        <row r="881">
          <cell r="E881" t="str">
            <v>C. M¸y</v>
          </cell>
        </row>
        <row r="882">
          <cell r="E882" t="str">
            <v>M¸y hµn 23KW</v>
          </cell>
        </row>
        <row r="883">
          <cell r="E883" t="str">
            <v>M¸y c¾t uèn cèt thÐp</v>
          </cell>
        </row>
        <row r="884">
          <cell r="E884" t="str">
            <v>G/c«ng CT dÇm F=8mm</v>
          </cell>
        </row>
        <row r="885">
          <cell r="E885" t="str">
            <v>A.VËt liÖu</v>
          </cell>
        </row>
        <row r="886">
          <cell r="E886" t="str">
            <v>ThÐp trßn d=8mm</v>
          </cell>
        </row>
        <row r="887">
          <cell r="E887" t="str">
            <v>D©y thÐp</v>
          </cell>
        </row>
        <row r="888">
          <cell r="E888" t="str">
            <v>Que hµn</v>
          </cell>
        </row>
        <row r="889">
          <cell r="E889" t="str">
            <v>B.Nh©n c«ng</v>
          </cell>
        </row>
        <row r="890">
          <cell r="E890" t="str">
            <v>Nh©n c«ng bËc 4,0/7</v>
          </cell>
        </row>
        <row r="891">
          <cell r="E891" t="str">
            <v>C. M¸y</v>
          </cell>
        </row>
        <row r="892">
          <cell r="E892" t="str">
            <v>M¸y hµn 23KW</v>
          </cell>
        </row>
        <row r="893">
          <cell r="E893" t="str">
            <v>M¸y c¾t uèn cèt thÐp</v>
          </cell>
        </row>
        <row r="894">
          <cell r="E894" t="str">
            <v>G/c«ng CT dÇm F=10mm</v>
          </cell>
        </row>
        <row r="895">
          <cell r="E895" t="str">
            <v>A.VËt liÖu</v>
          </cell>
        </row>
        <row r="896">
          <cell r="E896" t="str">
            <v>ThÐp trßn d=10mm</v>
          </cell>
        </row>
        <row r="897">
          <cell r="E897" t="str">
            <v>D©y thÐp</v>
          </cell>
        </row>
        <row r="898">
          <cell r="E898" t="str">
            <v>Que hµn</v>
          </cell>
        </row>
        <row r="899">
          <cell r="E899" t="str">
            <v>B.Nh©n c«ng</v>
          </cell>
        </row>
        <row r="900">
          <cell r="E900" t="str">
            <v>Nh©n c«ng bËc 4,0/7</v>
          </cell>
        </row>
        <row r="901">
          <cell r="E901" t="str">
            <v>C. M¸y</v>
          </cell>
        </row>
        <row r="902">
          <cell r="E902" t="str">
            <v>M¸y hµn 23KW</v>
          </cell>
        </row>
        <row r="903">
          <cell r="E903" t="str">
            <v>M¸y c¾t uèn cèt thÐp</v>
          </cell>
        </row>
        <row r="904">
          <cell r="E904" t="str">
            <v>G/c«ng CT dÇm F=12mm</v>
          </cell>
        </row>
        <row r="905">
          <cell r="E905" t="str">
            <v>A.VËt liÖu</v>
          </cell>
        </row>
        <row r="906">
          <cell r="E906" t="str">
            <v>ThÐp trßn d=12mm</v>
          </cell>
        </row>
        <row r="907">
          <cell r="E907" t="str">
            <v>D©y thÐp</v>
          </cell>
        </row>
        <row r="908">
          <cell r="E908" t="str">
            <v>Que hµn</v>
          </cell>
        </row>
        <row r="909">
          <cell r="E909" t="str">
            <v>B.Nh©n c«ng</v>
          </cell>
        </row>
        <row r="910">
          <cell r="E910" t="str">
            <v>Nh©n c«ng bËc 4,0/7</v>
          </cell>
        </row>
        <row r="911">
          <cell r="E911" t="str">
            <v>C. M¸y</v>
          </cell>
        </row>
        <row r="912">
          <cell r="E912" t="str">
            <v>M¸y hµn 23KW</v>
          </cell>
        </row>
        <row r="913">
          <cell r="E913" t="str">
            <v>M¸y c¾t uèn cèt thÐp</v>
          </cell>
        </row>
        <row r="914">
          <cell r="E914" t="str">
            <v>G/c«ng CT dÇm F=14mm</v>
          </cell>
        </row>
        <row r="915">
          <cell r="E915" t="str">
            <v>A.VËt liÖu</v>
          </cell>
        </row>
        <row r="916">
          <cell r="E916" t="str">
            <v>ThÐp trßn d=14mm</v>
          </cell>
        </row>
        <row r="917">
          <cell r="E917" t="str">
            <v>D©y thÐp</v>
          </cell>
        </row>
        <row r="918">
          <cell r="E918" t="str">
            <v>Que hµn</v>
          </cell>
        </row>
        <row r="919">
          <cell r="E919" t="str">
            <v>B.Nh©n c«ng</v>
          </cell>
        </row>
        <row r="920">
          <cell r="E920" t="str">
            <v>Nh©n c«ng bËc 4,0/7</v>
          </cell>
        </row>
        <row r="921">
          <cell r="E921" t="str">
            <v>C. M¸y</v>
          </cell>
        </row>
        <row r="922">
          <cell r="E922" t="str">
            <v>M¸y hµn 23KW</v>
          </cell>
        </row>
        <row r="923">
          <cell r="E923" t="str">
            <v>M¸y c¾t uèn cèt thÐp</v>
          </cell>
        </row>
        <row r="924">
          <cell r="E924" t="str">
            <v>G/c«ng CT dÇm F=16mm</v>
          </cell>
        </row>
        <row r="925">
          <cell r="E925" t="str">
            <v>A.VËt liÖu</v>
          </cell>
        </row>
        <row r="926">
          <cell r="E926" t="str">
            <v>ThÐp trßn d=16mm</v>
          </cell>
        </row>
        <row r="927">
          <cell r="E927" t="str">
            <v>D©y thÐp</v>
          </cell>
        </row>
        <row r="928">
          <cell r="E928" t="str">
            <v>Que hµn</v>
          </cell>
        </row>
        <row r="929">
          <cell r="E929" t="str">
            <v>B.Nh©n c«ng</v>
          </cell>
        </row>
        <row r="930">
          <cell r="E930" t="str">
            <v>Nh©n c«ng bËc 4,0/7</v>
          </cell>
        </row>
        <row r="931">
          <cell r="E931" t="str">
            <v>C. M¸y</v>
          </cell>
        </row>
        <row r="932">
          <cell r="E932" t="str">
            <v>M¸y hµn 23KW</v>
          </cell>
        </row>
        <row r="933">
          <cell r="E933" t="str">
            <v>M¸y c¾t uèn cèt thÐp</v>
          </cell>
        </row>
        <row r="934">
          <cell r="E934" t="str">
            <v>G/c«ng CT dÇm F=18mm</v>
          </cell>
        </row>
        <row r="935">
          <cell r="E935" t="str">
            <v>A.VËt liÖu</v>
          </cell>
        </row>
        <row r="936">
          <cell r="E936" t="str">
            <v>ThÐp trßn d=18mm</v>
          </cell>
        </row>
        <row r="937">
          <cell r="E937" t="str">
            <v>D©y thÐp</v>
          </cell>
        </row>
        <row r="938">
          <cell r="E938" t="str">
            <v>Que hµn</v>
          </cell>
        </row>
        <row r="939">
          <cell r="E939" t="str">
            <v>B.Nh©n c«ng</v>
          </cell>
        </row>
        <row r="940">
          <cell r="E940" t="str">
            <v>Nh©n c«ng bËc 4,0/7</v>
          </cell>
        </row>
        <row r="941">
          <cell r="E941" t="str">
            <v>C. M¸y</v>
          </cell>
        </row>
        <row r="942">
          <cell r="E942" t="str">
            <v>M¸y hµn 23KW</v>
          </cell>
        </row>
        <row r="943">
          <cell r="E943" t="str">
            <v>M¸y c¾t uèn cèt thÐp</v>
          </cell>
        </row>
        <row r="944">
          <cell r="E944" t="str">
            <v>G/c«ng CT dÇm F=20mm</v>
          </cell>
        </row>
        <row r="945">
          <cell r="E945" t="str">
            <v>A.VËt liÖu</v>
          </cell>
        </row>
        <row r="946">
          <cell r="E946" t="str">
            <v>ThÐp trßn d=20mm</v>
          </cell>
        </row>
        <row r="947">
          <cell r="E947" t="str">
            <v>D©y thÐp</v>
          </cell>
        </row>
        <row r="948">
          <cell r="E948" t="str">
            <v>Que hµn</v>
          </cell>
        </row>
        <row r="949">
          <cell r="E949" t="str">
            <v>B.Nh©n c«ng</v>
          </cell>
        </row>
        <row r="950">
          <cell r="E950" t="str">
            <v>Nh©n c«ng bËc 4,0/7</v>
          </cell>
        </row>
        <row r="951">
          <cell r="E951" t="str">
            <v>C. M¸y</v>
          </cell>
        </row>
        <row r="952">
          <cell r="E952" t="str">
            <v>M¸y hµn 23KW</v>
          </cell>
        </row>
        <row r="953">
          <cell r="E953" t="str">
            <v>M¸y c¾t uèn cèt thÐp</v>
          </cell>
        </row>
        <row r="954">
          <cell r="E954" t="str">
            <v>G/c«ng CT dÇm F=25mm</v>
          </cell>
        </row>
        <row r="955">
          <cell r="E955" t="str">
            <v>A.VËt liÖu</v>
          </cell>
        </row>
        <row r="956">
          <cell r="E956" t="str">
            <v>ThÐp trßn d=25mm</v>
          </cell>
        </row>
        <row r="957">
          <cell r="E957" t="str">
            <v>D©y thÐp</v>
          </cell>
        </row>
        <row r="958">
          <cell r="E958" t="str">
            <v>Que hµn</v>
          </cell>
        </row>
        <row r="959">
          <cell r="E959" t="str">
            <v>B.Nh©n c«ng</v>
          </cell>
        </row>
        <row r="960">
          <cell r="E960" t="str">
            <v>Nh©n c«ng bËc 4,0/7</v>
          </cell>
        </row>
        <row r="961">
          <cell r="E961" t="str">
            <v>C. M¸y</v>
          </cell>
        </row>
        <row r="962">
          <cell r="E962" t="str">
            <v>M¸y hµn 23KW</v>
          </cell>
        </row>
        <row r="963">
          <cell r="E963" t="str">
            <v>M¸y c¾t uèn cèt thÐp</v>
          </cell>
        </row>
        <row r="964">
          <cell r="E964" t="str">
            <v>L¾p ®Æt èng thÐp luån c¸p DUL</v>
          </cell>
        </row>
        <row r="965">
          <cell r="E965" t="str">
            <v>A.VËt liÖu</v>
          </cell>
        </row>
        <row r="966">
          <cell r="E966" t="str">
            <v>èng thÐp luån c¸p</v>
          </cell>
        </row>
        <row r="967">
          <cell r="E967" t="str">
            <v>èng nèi</v>
          </cell>
        </row>
        <row r="968">
          <cell r="E968" t="str">
            <v>L­íi thÐp ®Þnh vÞ</v>
          </cell>
        </row>
        <row r="969">
          <cell r="E969" t="str">
            <v>D©y thÐp</v>
          </cell>
        </row>
        <row r="970">
          <cell r="E970" t="str">
            <v>L­ìi c­a c¾t</v>
          </cell>
        </row>
        <row r="971">
          <cell r="E971" t="str">
            <v>VËt liÖu kh¸c</v>
          </cell>
        </row>
        <row r="972">
          <cell r="E972" t="str">
            <v>B.Nh©n c«ng</v>
          </cell>
        </row>
        <row r="973">
          <cell r="E973" t="str">
            <v>Nh©n c«ng bËc 4,5/7</v>
          </cell>
        </row>
        <row r="974">
          <cell r="E974" t="str">
            <v>C. M¸y</v>
          </cell>
        </row>
        <row r="975">
          <cell r="E975" t="str">
            <v>M¸y c¾t èng</v>
          </cell>
        </row>
        <row r="976">
          <cell r="E976" t="str">
            <v>M¸y kh¸c</v>
          </cell>
        </row>
        <row r="977">
          <cell r="E977" t="str">
            <v>C¸p thÐp dÇm DUL kÐo sau 7tao F12,7</v>
          </cell>
        </row>
        <row r="978">
          <cell r="E978" t="str">
            <v>A.VËt liÖu</v>
          </cell>
        </row>
        <row r="979">
          <cell r="E979" t="str">
            <v>C¸p c­êng ®é cao</v>
          </cell>
        </row>
        <row r="980">
          <cell r="E980" t="str">
            <v>§¸ c¾t</v>
          </cell>
        </row>
        <row r="981">
          <cell r="E981" t="str">
            <v>VËt liÖu kh¸c</v>
          </cell>
        </row>
        <row r="982">
          <cell r="E982" t="str">
            <v>B.Nh©n c«ng</v>
          </cell>
        </row>
        <row r="983">
          <cell r="E983" t="str">
            <v>Nh©n c«ng bËc 4,5/7</v>
          </cell>
        </row>
        <row r="984">
          <cell r="E984" t="str">
            <v>C. M¸y</v>
          </cell>
        </row>
        <row r="985">
          <cell r="E985" t="str">
            <v>CÈu 25T</v>
          </cell>
        </row>
        <row r="986">
          <cell r="E986" t="str">
            <v>Têi ®iÖn 5T</v>
          </cell>
        </row>
        <row r="987">
          <cell r="E987" t="str">
            <v>M¸y c¾t c¸p</v>
          </cell>
        </row>
        <row r="988">
          <cell r="E988" t="str">
            <v>M¸y luån c¸p</v>
          </cell>
        </row>
        <row r="989">
          <cell r="E989" t="str">
            <v>M¸y b¬m n­íc 20cv</v>
          </cell>
        </row>
        <row r="990">
          <cell r="E990" t="str">
            <v>M¸y nÐn khÝ 10m3/h</v>
          </cell>
        </row>
        <row r="991">
          <cell r="E991" t="str">
            <v>KÝch 250T</v>
          </cell>
        </row>
        <row r="992">
          <cell r="E992" t="str">
            <v>KÝch 500T</v>
          </cell>
        </row>
        <row r="993">
          <cell r="E993" t="str">
            <v>M¸y kh¸c</v>
          </cell>
        </row>
        <row r="994">
          <cell r="E994" t="str">
            <v>B¬m v÷a XM trong èng luån c¸p</v>
          </cell>
        </row>
        <row r="995">
          <cell r="E995" t="str">
            <v>A.VËt liÖu</v>
          </cell>
        </row>
        <row r="996">
          <cell r="E996" t="str">
            <v>Xi m¨ng PC40</v>
          </cell>
        </row>
        <row r="997">
          <cell r="E997" t="str">
            <v>Phô gia</v>
          </cell>
        </row>
        <row r="998">
          <cell r="E998" t="str">
            <v>VËt liÖu kh¸c</v>
          </cell>
        </row>
        <row r="999">
          <cell r="E999" t="str">
            <v>B.Nh©n c«ng</v>
          </cell>
        </row>
        <row r="1000">
          <cell r="E1000" t="str">
            <v>Nh©n c«ng bËc 4,0/7</v>
          </cell>
        </row>
        <row r="1001">
          <cell r="E1001" t="str">
            <v>C. M¸y</v>
          </cell>
        </row>
        <row r="1002">
          <cell r="E1002" t="str">
            <v>M¸y trén v÷a 80l</v>
          </cell>
        </row>
        <row r="1003">
          <cell r="E1003" t="str">
            <v>M¸y nÐn khÝ 10m3/h</v>
          </cell>
        </row>
        <row r="1004">
          <cell r="E1004" t="str">
            <v>B¬m v÷a XM</v>
          </cell>
        </row>
        <row r="1005">
          <cell r="E1005" t="str">
            <v>M¸y b¬m n­íc 20cv</v>
          </cell>
        </row>
        <row r="1006">
          <cell r="E1006" t="str">
            <v>M¸y kh¸c</v>
          </cell>
        </row>
        <row r="1007">
          <cell r="E1007" t="str">
            <v>L¾p ®Æt neo OVM 13-7</v>
          </cell>
        </row>
        <row r="1008">
          <cell r="E1008" t="str">
            <v>A.VËt liÖu</v>
          </cell>
        </row>
        <row r="1009">
          <cell r="E1009" t="str">
            <v xml:space="preserve">Neo </v>
          </cell>
        </row>
        <row r="1010">
          <cell r="E1010" t="str">
            <v>B.Nh©n c«ng</v>
          </cell>
        </row>
        <row r="1011">
          <cell r="E1011" t="str">
            <v>Nh©n c«ng bËc 3.5/7</v>
          </cell>
        </row>
        <row r="1012">
          <cell r="E1012" t="str">
            <v>L¾p dùng vµ th¸o dì khung bailey TC trô</v>
          </cell>
        </row>
        <row r="1013">
          <cell r="E1013" t="str">
            <v>B.Nh©n c«ng</v>
          </cell>
        </row>
        <row r="1014">
          <cell r="E1014" t="str">
            <v>Nh©n c«ng bËc 4,0/7</v>
          </cell>
        </row>
        <row r="1015">
          <cell r="E1015" t="str">
            <v>C. M¸y</v>
          </cell>
        </row>
        <row r="1016">
          <cell r="E1016" t="str">
            <v>CÈu 16T</v>
          </cell>
        </row>
        <row r="1017">
          <cell r="E1017" t="str">
            <v>CÈu 25T</v>
          </cell>
        </row>
        <row r="1018">
          <cell r="E1018" t="str">
            <v>Sµ lan 200T</v>
          </cell>
        </row>
        <row r="1019">
          <cell r="E1019" t="str">
            <v>Sµ lan 400T</v>
          </cell>
        </row>
        <row r="1020">
          <cell r="E1020" t="str">
            <v>Tµu kÐo 150cv</v>
          </cell>
        </row>
        <row r="1021">
          <cell r="E1021" t="str">
            <v>LD vµ TD khung bailey TC mè (LC2 lÇn)</v>
          </cell>
        </row>
        <row r="1022">
          <cell r="E1022" t="str">
            <v>B.Nh©n c«ng</v>
          </cell>
        </row>
        <row r="1023">
          <cell r="E1023" t="str">
            <v>Nh©n c«ng bËc 4,0/7</v>
          </cell>
        </row>
        <row r="1024">
          <cell r="E1024" t="str">
            <v>C. M¸y</v>
          </cell>
        </row>
        <row r="1025">
          <cell r="E1025" t="str">
            <v>CÈu 16T</v>
          </cell>
        </row>
        <row r="1026">
          <cell r="E1026" t="str">
            <v xml:space="preserve">SX hÖ khung dµn gi¸o thi c«ng </v>
          </cell>
        </row>
        <row r="1027">
          <cell r="E1027" t="str">
            <v>A.VËt liÖu</v>
          </cell>
        </row>
        <row r="1028">
          <cell r="E1028" t="str">
            <v>ThÐp b¶n</v>
          </cell>
        </row>
        <row r="1029">
          <cell r="E1029" t="str">
            <v>ThÐp h×nh</v>
          </cell>
        </row>
        <row r="1030">
          <cell r="E1030" t="str">
            <v>Que hµn</v>
          </cell>
        </row>
        <row r="1031">
          <cell r="E1031" t="str">
            <v>¤xy</v>
          </cell>
        </row>
        <row r="1032">
          <cell r="E1032" t="str">
            <v>§Êt ®Ìn</v>
          </cell>
        </row>
        <row r="1033">
          <cell r="E1033" t="str">
            <v>B.Nh©n c«ng</v>
          </cell>
        </row>
        <row r="1034">
          <cell r="E1034" t="str">
            <v>Nh©n c«ng bËc 4,5/7</v>
          </cell>
        </row>
        <row r="1035">
          <cell r="E1035" t="str">
            <v>C. M¸y</v>
          </cell>
        </row>
        <row r="1036">
          <cell r="E1036" t="str">
            <v>M¸y hµn 23KW</v>
          </cell>
        </row>
        <row r="1037">
          <cell r="E1037" t="str">
            <v>M¸y c¾t thÐp</v>
          </cell>
        </row>
        <row r="1038">
          <cell r="E1038" t="str">
            <v>CÈu 10T</v>
          </cell>
        </row>
        <row r="1039">
          <cell r="E1039" t="str">
            <v>LD vµ th¸o dì hÖ khung dµn gi¸o TC trô</v>
          </cell>
        </row>
        <row r="1040">
          <cell r="E1040" t="str">
            <v>A.VËt liÖu</v>
          </cell>
        </row>
        <row r="1041">
          <cell r="E1041" t="str">
            <v>Que hµn</v>
          </cell>
        </row>
        <row r="1042">
          <cell r="E1042" t="str">
            <v>Bul«ng M20</v>
          </cell>
        </row>
        <row r="1043">
          <cell r="E1043" t="str">
            <v>VËt liÖu kh¸c</v>
          </cell>
        </row>
        <row r="1044">
          <cell r="E1044" t="str">
            <v>B.Nh©n c«ng</v>
          </cell>
        </row>
        <row r="1045">
          <cell r="E1045" t="str">
            <v>Nh©n c«ng bËc 4,0/7</v>
          </cell>
        </row>
        <row r="1046">
          <cell r="E1046" t="str">
            <v>C. M¸y</v>
          </cell>
        </row>
        <row r="1047">
          <cell r="E1047" t="str">
            <v>M¸y hµn 23KW</v>
          </cell>
        </row>
        <row r="1048">
          <cell r="E1048" t="str">
            <v>CÈu 25T</v>
          </cell>
        </row>
        <row r="1049">
          <cell r="E1049" t="str">
            <v>Sµ lan 200T</v>
          </cell>
        </row>
        <row r="1050">
          <cell r="E1050" t="str">
            <v>Sµ lan 400T</v>
          </cell>
        </row>
        <row r="1051">
          <cell r="E1051" t="str">
            <v>Tµu kÐo 150cv</v>
          </cell>
        </row>
        <row r="1052">
          <cell r="E1052" t="str">
            <v>CÈu 16T</v>
          </cell>
        </row>
        <row r="1053">
          <cell r="E1053" t="str">
            <v>LD vµ TD hÖ khung dµn gi¸o TC mè (LC2lÇn)</v>
          </cell>
        </row>
        <row r="1054">
          <cell r="E1054" t="str">
            <v>A.VËt liÖu</v>
          </cell>
        </row>
        <row r="1055">
          <cell r="E1055" t="str">
            <v>Que hµn</v>
          </cell>
        </row>
        <row r="1056">
          <cell r="E1056" t="str">
            <v>Bul«ng M20</v>
          </cell>
        </row>
        <row r="1057">
          <cell r="E1057" t="str">
            <v>VËt liÖu kh¸c</v>
          </cell>
        </row>
        <row r="1058">
          <cell r="E1058" t="str">
            <v>B.Nh©n c«ng</v>
          </cell>
        </row>
        <row r="1059">
          <cell r="E1059" t="str">
            <v>Nh©n c«ng bËc 4,0/7</v>
          </cell>
        </row>
        <row r="1060">
          <cell r="E1060" t="str">
            <v>C. M¸y</v>
          </cell>
        </row>
        <row r="1061">
          <cell r="E1061" t="str">
            <v>M¸y hµn 23KW</v>
          </cell>
        </row>
        <row r="1062">
          <cell r="E1062" t="str">
            <v>CÈu 25T</v>
          </cell>
        </row>
        <row r="1063">
          <cell r="E1063" t="str">
            <v>Gia c«ng, l¾p r¾p gç thi 
c«ng trô (LC4lÇn)</v>
          </cell>
        </row>
        <row r="1064">
          <cell r="E1064" t="str">
            <v>A.VËt liÖu</v>
          </cell>
        </row>
        <row r="1065">
          <cell r="E1065" t="str">
            <v>Gç v¸n</v>
          </cell>
        </row>
        <row r="1066">
          <cell r="E1066" t="str">
            <v>Bul«ng</v>
          </cell>
        </row>
        <row r="1067">
          <cell r="E1067" t="str">
            <v>B.Nh©n c«ng</v>
          </cell>
        </row>
        <row r="1068">
          <cell r="E1068" t="str">
            <v>Nh©n c«ng bËc 3.5/7</v>
          </cell>
        </row>
        <row r="1069">
          <cell r="E1069" t="str">
            <v>C. M¸y</v>
          </cell>
        </row>
        <row r="1070">
          <cell r="E1070" t="str">
            <v>CÈu 6T</v>
          </cell>
        </row>
        <row r="1071">
          <cell r="E1071" t="str">
            <v>Sµ lan 200T</v>
          </cell>
        </row>
        <row r="1072">
          <cell r="E1072" t="str">
            <v>Sµ lan 400T</v>
          </cell>
        </row>
        <row r="1073">
          <cell r="E1073" t="str">
            <v>Tµu kÐo 150cv</v>
          </cell>
        </row>
        <row r="1074">
          <cell r="E1074" t="str">
            <v>Gia c«ng, l¾p r¾p gç thi 
c«ng mè (LC2lÇn)</v>
          </cell>
        </row>
        <row r="1075">
          <cell r="E1075" t="str">
            <v>A.VËt liÖu</v>
          </cell>
        </row>
        <row r="1076">
          <cell r="E1076" t="str">
            <v>Gç v¸n</v>
          </cell>
        </row>
        <row r="1077">
          <cell r="E1077" t="str">
            <v>B.Nh©n c«ng</v>
          </cell>
        </row>
        <row r="1078">
          <cell r="E1078" t="str">
            <v>Nh©n c«ng bËc 3.5/7</v>
          </cell>
        </row>
        <row r="1079">
          <cell r="E1079" t="str">
            <v>Di chuyÓn toµn bé thiÕt bÞ 
ra trô vµ vµo</v>
          </cell>
        </row>
        <row r="1080">
          <cell r="E1080" t="str">
            <v>B.Nh©n c«ng</v>
          </cell>
        </row>
        <row r="1081">
          <cell r="E1081" t="str">
            <v>Nh©n c«ng bËc 4,0/7</v>
          </cell>
        </row>
        <row r="1082">
          <cell r="E1082" t="str">
            <v>C. M¸y</v>
          </cell>
        </row>
        <row r="1083">
          <cell r="E1083" t="str">
            <v>CÈu 25T</v>
          </cell>
        </row>
        <row r="1084">
          <cell r="E1084" t="str">
            <v>Sµ lan 200T</v>
          </cell>
        </row>
        <row r="1085">
          <cell r="E1085" t="str">
            <v>Sµ lan 400T</v>
          </cell>
        </row>
        <row r="1086">
          <cell r="E1086" t="str">
            <v>Tµu kÐo 150cv</v>
          </cell>
        </row>
        <row r="1087">
          <cell r="E1087" t="str">
            <v>CÈu 16T</v>
          </cell>
        </row>
        <row r="1088">
          <cell r="E1088" t="str">
            <v>§­êng hµn d=8mm</v>
          </cell>
        </row>
        <row r="1089">
          <cell r="E1089" t="str">
            <v>A.VËt liÖu</v>
          </cell>
        </row>
        <row r="1090">
          <cell r="E1090" t="str">
            <v>Que hµn</v>
          </cell>
        </row>
        <row r="1091">
          <cell r="E1091" t="str">
            <v>B.Nh©n c«ng</v>
          </cell>
        </row>
        <row r="1092">
          <cell r="E1092" t="str">
            <v>Nh©n c«ng bËc 4,0/7</v>
          </cell>
        </row>
        <row r="1093">
          <cell r="E1093" t="str">
            <v>C. M¸y</v>
          </cell>
        </row>
        <row r="1094">
          <cell r="E1094" t="str">
            <v>M¸y hµn 23KW</v>
          </cell>
        </row>
        <row r="1095">
          <cell r="E1095" t="str">
            <v xml:space="preserve">§­êng c¾t thÐp b¶n </v>
          </cell>
        </row>
        <row r="1096">
          <cell r="E1096" t="str">
            <v>A.VËt liÖu</v>
          </cell>
        </row>
        <row r="1097">
          <cell r="E1097" t="str">
            <v>¤xy</v>
          </cell>
        </row>
        <row r="1098">
          <cell r="E1098" t="str">
            <v>Axªtylen</v>
          </cell>
        </row>
        <row r="1099">
          <cell r="E1099" t="str">
            <v>B.Nh©n c«ng</v>
          </cell>
        </row>
        <row r="1100">
          <cell r="E1100" t="str">
            <v>Nh©n c«ng bËc 4,0/7</v>
          </cell>
        </row>
        <row r="1101">
          <cell r="E1101" t="str">
            <v>LÊy dÊu :0,01c</v>
          </cell>
        </row>
        <row r="1102">
          <cell r="E1102" t="str">
            <v>C¾t thÐp : 0,023c</v>
          </cell>
        </row>
        <row r="1103">
          <cell r="E1103" t="str">
            <v>TÈy bavia : 0,0519c</v>
          </cell>
        </row>
        <row r="1104">
          <cell r="E1104" t="str">
            <v>C. M¸y</v>
          </cell>
        </row>
        <row r="1105">
          <cell r="E1105" t="str">
            <v>M¸y nÐn khÝ 10m3/h</v>
          </cell>
        </row>
        <row r="1106">
          <cell r="E1106" t="str">
            <v>SX lan can tay vÞn</v>
          </cell>
        </row>
        <row r="1107">
          <cell r="E1107" t="str">
            <v>A.VËt liÖu</v>
          </cell>
        </row>
        <row r="1108">
          <cell r="E1108" t="str">
            <v>ThÐp b¶n</v>
          </cell>
        </row>
        <row r="1109">
          <cell r="E1109" t="str">
            <v>Que hµn</v>
          </cell>
        </row>
        <row r="1110">
          <cell r="E1110" t="str">
            <v>¤xy</v>
          </cell>
        </row>
        <row r="1111">
          <cell r="E1111" t="str">
            <v>§Êt ®Ìn</v>
          </cell>
        </row>
        <row r="1112">
          <cell r="E1112" t="str">
            <v>B.Nh©n c«ng</v>
          </cell>
        </row>
        <row r="1113">
          <cell r="E1113" t="str">
            <v>Nh©n c«ng bËc 3.5/7</v>
          </cell>
        </row>
        <row r="1114">
          <cell r="E1114" t="str">
            <v>C. M¸y</v>
          </cell>
        </row>
        <row r="1115">
          <cell r="E1115" t="str">
            <v>M¸y hµn 23KW</v>
          </cell>
        </row>
        <row r="1116">
          <cell r="E1116" t="str">
            <v>L¾p dùng lan can tay vÞn</v>
          </cell>
        </row>
        <row r="1117">
          <cell r="E1117" t="str">
            <v>A.VËt liÖu</v>
          </cell>
        </row>
        <row r="1118">
          <cell r="E1118" t="str">
            <v>Que hµn</v>
          </cell>
        </row>
        <row r="1119">
          <cell r="E1119" t="str">
            <v>B.Nh©n c«ng</v>
          </cell>
        </row>
        <row r="1120">
          <cell r="E1120" t="str">
            <v>Nh©n c«ng bËc 3.5/7</v>
          </cell>
        </row>
        <row r="1121">
          <cell r="E1121" t="str">
            <v>C. M¸y</v>
          </cell>
        </row>
        <row r="1122">
          <cell r="E1122" t="str">
            <v>M¸y hµn 23KW</v>
          </cell>
        </row>
        <row r="1123">
          <cell r="E1123" t="str">
            <v>QuÐt v«i gê ch¾n</v>
          </cell>
        </row>
        <row r="1124">
          <cell r="E1124" t="str">
            <v>A.VËt liÖu</v>
          </cell>
        </row>
        <row r="1125">
          <cell r="E1125" t="str">
            <v>V«i côc</v>
          </cell>
        </row>
        <row r="1126">
          <cell r="E1126" t="str">
            <v>VËt liÖu kh¸c</v>
          </cell>
        </row>
        <row r="1127">
          <cell r="E1127" t="str">
            <v>B.Nh©n c«ng</v>
          </cell>
        </row>
        <row r="1128">
          <cell r="E1128" t="str">
            <v>Nh©n c«ng bËc 3.5/7</v>
          </cell>
        </row>
        <row r="1129">
          <cell r="E1129" t="str">
            <v>S¬n ph©n tuyÕn</v>
          </cell>
        </row>
        <row r="1130">
          <cell r="E1130" t="str">
            <v>A.VËt liÖu</v>
          </cell>
        </row>
        <row r="1131">
          <cell r="E1131" t="str">
            <v>S¬n</v>
          </cell>
        </row>
        <row r="1132">
          <cell r="E1132" t="str">
            <v>VËt liÖu kh¸c</v>
          </cell>
        </row>
        <row r="1133">
          <cell r="E1133" t="str">
            <v>B.Nh©n c«ng</v>
          </cell>
        </row>
        <row r="1134">
          <cell r="E1134" t="str">
            <v>Nh©n c«ng bËc 4,0/7</v>
          </cell>
        </row>
        <row r="1135">
          <cell r="E1135" t="str">
            <v>Ch¶i rØ</v>
          </cell>
        </row>
        <row r="1136">
          <cell r="E1136" t="str">
            <v>B.Nh©n c«ng</v>
          </cell>
        </row>
        <row r="1137">
          <cell r="E1137" t="str">
            <v>Nh©n c«ng bËc 4,0/7</v>
          </cell>
        </row>
        <row r="1138">
          <cell r="E1138" t="str">
            <v>S¬n ph¶n quang</v>
          </cell>
        </row>
        <row r="1139">
          <cell r="E1139" t="str">
            <v>A.VËt liÖu</v>
          </cell>
        </row>
        <row r="1140">
          <cell r="E1140" t="str">
            <v>S¬n ph¶n quang</v>
          </cell>
        </row>
        <row r="1141">
          <cell r="E1141" t="str">
            <v>VËt liÖu kh¸c</v>
          </cell>
        </row>
        <row r="1142">
          <cell r="E1142" t="str">
            <v>B.Nh©n c«ng</v>
          </cell>
        </row>
        <row r="1143">
          <cell r="E1143" t="str">
            <v>Nh©n c«ng bËc 4,0/7</v>
          </cell>
        </row>
        <row r="1144">
          <cell r="E1144" t="str">
            <v>S¬n phñ.</v>
          </cell>
        </row>
        <row r="1145">
          <cell r="E1145" t="str">
            <v>A.VËt liÖu</v>
          </cell>
        </row>
        <row r="1146">
          <cell r="E1146" t="str">
            <v>S¬n phñ</v>
          </cell>
        </row>
        <row r="1147">
          <cell r="E1147" t="str">
            <v>X¨ng</v>
          </cell>
        </row>
        <row r="1148">
          <cell r="E1148" t="str">
            <v>VËt liÖu kh¸c</v>
          </cell>
        </row>
        <row r="1149">
          <cell r="E1149" t="str">
            <v>B.Nh©n c«ng</v>
          </cell>
        </row>
        <row r="1150">
          <cell r="E1150" t="str">
            <v>Nh©n c«ng bËc 4,0/7</v>
          </cell>
        </row>
        <row r="1151">
          <cell r="E1151" t="str">
            <v>S¬n chèng rØ</v>
          </cell>
        </row>
        <row r="1152">
          <cell r="E1152" t="str">
            <v>A.VËt liÖu</v>
          </cell>
        </row>
        <row r="1153">
          <cell r="E1153" t="str">
            <v>S¬n chèng rØ</v>
          </cell>
        </row>
        <row r="1154">
          <cell r="E1154" t="str">
            <v>X¨ng</v>
          </cell>
        </row>
        <row r="1155">
          <cell r="E1155" t="str">
            <v>VËt liÖu kh¸c</v>
          </cell>
        </row>
        <row r="1156">
          <cell r="E1156" t="str">
            <v>B.Nh©n c«ng</v>
          </cell>
        </row>
        <row r="1157">
          <cell r="E1157" t="str">
            <v>Nh©n c«ng bËc 4,0/7</v>
          </cell>
        </row>
        <row r="1158">
          <cell r="E1158" t="str">
            <v>L¾p dùng cÊu kiÖn thÐp</v>
          </cell>
        </row>
        <row r="1159">
          <cell r="E1159" t="str">
            <v>A.VËt liÖu</v>
          </cell>
        </row>
        <row r="1160">
          <cell r="E1160" t="str">
            <v>Bul«ng M20</v>
          </cell>
        </row>
        <row r="1161">
          <cell r="E1161" t="str">
            <v>Que hµn</v>
          </cell>
        </row>
        <row r="1162">
          <cell r="E1162" t="str">
            <v>VËt liÖu kh¸c</v>
          </cell>
        </row>
        <row r="1163">
          <cell r="E1163" t="str">
            <v>B.Nh©n c«ng</v>
          </cell>
        </row>
        <row r="1164">
          <cell r="E1164" t="str">
            <v>Nh©n c«ng bËc 4,0/7</v>
          </cell>
        </row>
        <row r="1165">
          <cell r="E1165" t="str">
            <v>C. M¸y</v>
          </cell>
        </row>
        <row r="1166">
          <cell r="E1166" t="str">
            <v>M¸y hµn 23KW</v>
          </cell>
        </row>
        <row r="1167">
          <cell r="E1167" t="str">
            <v>Bèc hµng lªn xuèng + vc tõ §N ®Õn CT L=219Km</v>
          </cell>
        </row>
        <row r="1168">
          <cell r="E1168" t="str">
            <v>B.Nh©n c«ng</v>
          </cell>
        </row>
        <row r="1169">
          <cell r="E1169" t="str">
            <v>Nh©n c«ng bËc 3.5/7</v>
          </cell>
        </row>
        <row r="1170">
          <cell r="E1170" t="str">
            <v>C. M¸y</v>
          </cell>
        </row>
        <row r="1171">
          <cell r="E1171" t="str">
            <v>CÈu 16T</v>
          </cell>
        </row>
        <row r="1172">
          <cell r="E1172" t="str">
            <v>VC hµng tõ §N-Ctr×nh (L=219Km)</v>
          </cell>
        </row>
        <row r="1173">
          <cell r="E1173" t="str">
            <v>D/C dÇm cÇu tõ bÖ ®óc ®Õn bÖ chøa</v>
          </cell>
        </row>
        <row r="1174">
          <cell r="E1174" t="str">
            <v>B.Nh©n c«ng</v>
          </cell>
        </row>
        <row r="1175">
          <cell r="E1175" t="str">
            <v>Nh©n c«ng bËc 4,0/7</v>
          </cell>
        </row>
        <row r="1176">
          <cell r="E1176" t="str">
            <v>C. M¸y</v>
          </cell>
        </row>
        <row r="1177">
          <cell r="E1177" t="str">
            <v>Xe goßng</v>
          </cell>
        </row>
        <row r="1178">
          <cell r="E1178" t="str">
            <v>Têi ®iÖn 5T</v>
          </cell>
        </row>
        <row r="1179">
          <cell r="E1179" t="str">
            <v>Sµng dÇm + D/C dÇm cÇu tõ b·i ®Õn vÞ trÝ lao</v>
          </cell>
        </row>
        <row r="1180">
          <cell r="E1180" t="str">
            <v>B.Nh©n c«ng</v>
          </cell>
        </row>
        <row r="1181">
          <cell r="E1181" t="str">
            <v>Nh©n c«ng bËc 4,0/7</v>
          </cell>
        </row>
        <row r="1182">
          <cell r="E1182" t="str">
            <v>C. M¸y</v>
          </cell>
        </row>
        <row r="1183">
          <cell r="E1183" t="str">
            <v>Xe goßng</v>
          </cell>
        </row>
        <row r="1184">
          <cell r="E1184" t="str">
            <v>Têi ®iÖn 5T</v>
          </cell>
        </row>
        <row r="1185">
          <cell r="E1185" t="str">
            <v>Lao kÐo dÇm BT DUL L=33m</v>
          </cell>
        </row>
        <row r="1186">
          <cell r="E1186" t="str">
            <v>A.VËt liÖu</v>
          </cell>
        </row>
        <row r="1187">
          <cell r="E1187" t="str">
            <v>ThÐp h×nh</v>
          </cell>
        </row>
        <row r="1188">
          <cell r="E1188" t="str">
            <v>Tµ vÑt gç</v>
          </cell>
        </row>
        <row r="1189">
          <cell r="E1189" t="str">
            <v>§inh ®­êng</v>
          </cell>
        </row>
        <row r="1190">
          <cell r="E1190" t="str">
            <v>VËt liÖu kh¸c</v>
          </cell>
        </row>
        <row r="1191">
          <cell r="E1191" t="str">
            <v>B.Nh©n c«ng</v>
          </cell>
        </row>
        <row r="1192">
          <cell r="E1192" t="str">
            <v>Nh©n c«ng bËc 4,0/7</v>
          </cell>
        </row>
        <row r="1193">
          <cell r="E1193" t="str">
            <v>C. M¸y</v>
          </cell>
        </row>
        <row r="1194">
          <cell r="E1194" t="str">
            <v>Xe lao dÇm</v>
          </cell>
        </row>
        <row r="1195">
          <cell r="E1195" t="str">
            <v>Têi ®iÖn 5T</v>
          </cell>
        </row>
        <row r="1196">
          <cell r="E1196" t="str">
            <v>M¸y kh¸c</v>
          </cell>
        </row>
        <row r="1197">
          <cell r="E1197" t="str">
            <v>L¾p dùng vµ th¸o dì ®µ gi¸o (2 l­ît)</v>
          </cell>
        </row>
        <row r="1198">
          <cell r="E1198" t="str">
            <v>A.VËt liÖu</v>
          </cell>
        </row>
        <row r="1199">
          <cell r="E1199" t="str">
            <v>Bul«ng</v>
          </cell>
        </row>
        <row r="1200">
          <cell r="E1200" t="str">
            <v>Que hµn</v>
          </cell>
        </row>
        <row r="1201">
          <cell r="E1201" t="str">
            <v>VËt liÖu kh¸c</v>
          </cell>
        </row>
        <row r="1202">
          <cell r="E1202" t="str">
            <v>B.Nh©n c«ng</v>
          </cell>
        </row>
        <row r="1203">
          <cell r="E1203" t="str">
            <v>Nh©n c«ng bËc 4,5/7</v>
          </cell>
        </row>
        <row r="1204">
          <cell r="E1204" t="str">
            <v>C. M¸y</v>
          </cell>
        </row>
        <row r="1205">
          <cell r="E1205" t="str">
            <v>CÈu 16T</v>
          </cell>
        </row>
        <row r="1206">
          <cell r="E1206" t="str">
            <v>M¸y hµn 23KW</v>
          </cell>
        </row>
        <row r="1207">
          <cell r="E1207" t="str">
            <v>CÈu dÇm tõ bÖ ®óc xuèng ®. tr­ît</v>
          </cell>
        </row>
        <row r="1208">
          <cell r="E1208" t="str">
            <v>A.VËt liÖu</v>
          </cell>
        </row>
        <row r="1209">
          <cell r="E1209" t="str">
            <v>Gç kª</v>
          </cell>
        </row>
        <row r="1210">
          <cell r="E1210" t="str">
            <v>VËt liÖu kh¸c</v>
          </cell>
        </row>
        <row r="1211">
          <cell r="E1211" t="str">
            <v>B.Nh©n c«ng</v>
          </cell>
        </row>
        <row r="1212">
          <cell r="E1212" t="str">
            <v>Nh©n c«ng bËc 5,0/7</v>
          </cell>
        </row>
        <row r="1213">
          <cell r="E1213" t="str">
            <v>C. M¸y</v>
          </cell>
        </row>
        <row r="1214">
          <cell r="E1214" t="str">
            <v>CÈu ch¹y trªn ray</v>
          </cell>
        </row>
        <row r="1215">
          <cell r="E1215" t="str">
            <v>N©ng h¹ dÇm cÇu L=33m</v>
          </cell>
        </row>
        <row r="1216">
          <cell r="E1216" t="str">
            <v>A.VËt liÖu</v>
          </cell>
        </row>
        <row r="1217">
          <cell r="E1217" t="str">
            <v>Gç kª</v>
          </cell>
        </row>
        <row r="1218">
          <cell r="E1218" t="str">
            <v>§inh ®Üa</v>
          </cell>
        </row>
        <row r="1219">
          <cell r="E1219" t="str">
            <v>B.Nh©n c«ng</v>
          </cell>
        </row>
        <row r="1220">
          <cell r="E1220" t="str">
            <v>Nh©n c«ng bËc 4,5/7</v>
          </cell>
        </row>
        <row r="1221">
          <cell r="E1221" t="str">
            <v>D/ch dÇm cÇu L=33m vµo vÞ trÝ</v>
          </cell>
        </row>
        <row r="1222">
          <cell r="E1222" t="str">
            <v>A.VËt liÖu</v>
          </cell>
        </row>
        <row r="1223">
          <cell r="E1223" t="str">
            <v>Ray</v>
          </cell>
        </row>
        <row r="1224">
          <cell r="E1224" t="str">
            <v>LËp l¸ch</v>
          </cell>
        </row>
        <row r="1225">
          <cell r="E1225" t="str">
            <v>Gç kª</v>
          </cell>
        </row>
        <row r="1226">
          <cell r="E1226" t="str">
            <v>§inh Cr¨mb«ng</v>
          </cell>
        </row>
        <row r="1227">
          <cell r="E1227" t="str">
            <v>B.Nh©n c«ng</v>
          </cell>
        </row>
        <row r="1228">
          <cell r="E1228" t="str">
            <v>Nh©n c«ng bËc 4,5/7</v>
          </cell>
        </row>
        <row r="1229">
          <cell r="E1229" t="str">
            <v>LËp ®­êng tr­ît ®Ó di chuyÓn dÇm</v>
          </cell>
        </row>
        <row r="1230">
          <cell r="E1230" t="str">
            <v>tõ b·i ®óc dÇm ®Õn ch©n cÇu</v>
          </cell>
        </row>
        <row r="1231">
          <cell r="E1231" t="str">
            <v>A.VËt liÖu</v>
          </cell>
        </row>
        <row r="1232">
          <cell r="E1232" t="str">
            <v>Ray</v>
          </cell>
        </row>
        <row r="1233">
          <cell r="E1233" t="str">
            <v>LËp l¸ch</v>
          </cell>
        </row>
        <row r="1234">
          <cell r="E1234" t="str">
            <v>Gç kª</v>
          </cell>
        </row>
        <row r="1235">
          <cell r="E1235" t="str">
            <v>§inh Cr¨mb«ng</v>
          </cell>
        </row>
        <row r="1236">
          <cell r="E1236" t="str">
            <v>Bul«ng</v>
          </cell>
        </row>
        <row r="1237">
          <cell r="E1237" t="str">
            <v>VËt liÖu kh¸c</v>
          </cell>
        </row>
        <row r="1238">
          <cell r="E1238" t="str">
            <v>B.Nh©n c«ng</v>
          </cell>
        </row>
        <row r="1239">
          <cell r="E1239" t="str">
            <v>Nh©n c«ng bËc 4,5/7</v>
          </cell>
        </row>
        <row r="1240">
          <cell r="E1240" t="str">
            <v>Th¸o dì ®­êng tr­ît 
 (tÝnh 80%c«ng l¾p)</v>
          </cell>
        </row>
        <row r="1241">
          <cell r="E1241" t="str">
            <v>B.Nh©n c«ng</v>
          </cell>
        </row>
        <row r="1242">
          <cell r="E1242" t="str">
            <v>Nh©n c«ng bËc 4,5/7</v>
          </cell>
        </row>
        <row r="1243">
          <cell r="E1243" t="str">
            <v>Th¸o l¾p tæ hîp  lao dÇm</v>
          </cell>
        </row>
        <row r="1244">
          <cell r="E1244" t="str">
            <v>A.VËt liÖu</v>
          </cell>
        </row>
        <row r="1245">
          <cell r="E1245" t="str">
            <v>Bul«ng+§inh t¸n</v>
          </cell>
        </row>
        <row r="1246">
          <cell r="E1246" t="str">
            <v>VËt liÖu kh¸c</v>
          </cell>
        </row>
        <row r="1247">
          <cell r="E1247" t="str">
            <v>B.Nh©n c«ng</v>
          </cell>
        </row>
        <row r="1248">
          <cell r="E1248" t="str">
            <v>Nh©n c«ng bËc 4,5/7</v>
          </cell>
        </row>
        <row r="1249">
          <cell r="E1249" t="str">
            <v>C. M¸y</v>
          </cell>
        </row>
        <row r="1250">
          <cell r="E1250" t="str">
            <v>Têi ®iÖn 5T</v>
          </cell>
        </row>
        <row r="1251">
          <cell r="E1251" t="str">
            <v>CÈu 25T</v>
          </cell>
        </row>
        <row r="1252">
          <cell r="E1252" t="str">
            <v>KÝch 50T</v>
          </cell>
        </row>
        <row r="1253">
          <cell r="E1253" t="str">
            <v>M¸y nÐn khÝ 10m3/h</v>
          </cell>
        </row>
        <row r="1254">
          <cell r="E1254" t="str">
            <v>M¸y kh¸c</v>
          </cell>
        </row>
        <row r="1255">
          <cell r="E1255" t="str">
            <v>ChuyÓn xe lao sang nhÞp</v>
          </cell>
        </row>
        <row r="1256">
          <cell r="E1256" t="str">
            <v>A.VËt liÖu</v>
          </cell>
        </row>
        <row r="1257">
          <cell r="E1257" t="str">
            <v>Tµ vÑt gç</v>
          </cell>
        </row>
        <row r="1258">
          <cell r="E1258" t="str">
            <v>34th/24</v>
          </cell>
        </row>
        <row r="1259">
          <cell r="E1259" t="str">
            <v>Ray</v>
          </cell>
        </row>
        <row r="1260">
          <cell r="E1260" t="str">
            <v>68*2*44,653/100</v>
          </cell>
        </row>
        <row r="1261">
          <cell r="E1261" t="str">
            <v>LËp l¸ch</v>
          </cell>
        </row>
        <row r="1262">
          <cell r="E1262" t="str">
            <v>6*2/50</v>
          </cell>
        </row>
        <row r="1263">
          <cell r="E1263" t="str">
            <v>§inh Cr¨mb«ng</v>
          </cell>
        </row>
        <row r="1264">
          <cell r="E1264" t="str">
            <v>136/15</v>
          </cell>
        </row>
        <row r="1265">
          <cell r="E1265" t="str">
            <v>C¸p</v>
          </cell>
        </row>
        <row r="1266">
          <cell r="E1266" t="str">
            <v>VËt liÖu kh¸c</v>
          </cell>
        </row>
        <row r="1267">
          <cell r="E1267" t="str">
            <v>B.Nh©n c«ng</v>
          </cell>
        </row>
        <row r="1268">
          <cell r="E1268" t="str">
            <v>Nh©n c«ng bËc 4,5/7</v>
          </cell>
        </row>
        <row r="1269">
          <cell r="E1269" t="str">
            <v>L§+TD ray</v>
          </cell>
        </row>
        <row r="1270">
          <cell r="E1270" t="str">
            <v>NC lao cÈu tõ mè-trô (trô -trô)</v>
          </cell>
        </row>
        <row r="1271">
          <cell r="E1271" t="str">
            <v>C. M¸y</v>
          </cell>
        </row>
        <row r="1272">
          <cell r="E1272" t="str">
            <v>Têi ®iÖn 5T</v>
          </cell>
        </row>
        <row r="1273">
          <cell r="E1273" t="str">
            <v>0,12ca x 150T</v>
          </cell>
        </row>
        <row r="1274">
          <cell r="E1274" t="str">
            <v>Xe goßng</v>
          </cell>
        </row>
        <row r="1275">
          <cell r="E1275" t="str">
            <v>CÈu 16T</v>
          </cell>
        </row>
        <row r="1276">
          <cell r="E1276" t="str">
            <v>Sµ lan 400T</v>
          </cell>
        </row>
        <row r="1277">
          <cell r="E1277" t="str">
            <v>Xe lao dÇm</v>
          </cell>
        </row>
        <row r="1278">
          <cell r="E1278" t="str">
            <v>Tµu kÐo 150cv</v>
          </cell>
        </row>
        <row r="1279">
          <cell r="E1279" t="str">
            <v>KÝch h¹ dÇm xuèng gèi</v>
          </cell>
        </row>
        <row r="1280">
          <cell r="E1280" t="str">
            <v>A.VËt liÖu</v>
          </cell>
        </row>
        <row r="1281">
          <cell r="E1281" t="str">
            <v>Tµ vÑt gç</v>
          </cell>
        </row>
        <row r="1282">
          <cell r="E1282" t="str">
            <v>§inh ®Üa</v>
          </cell>
        </row>
        <row r="1283">
          <cell r="E1283" t="str">
            <v>B.Nh©n c«ng</v>
          </cell>
        </row>
        <row r="1284">
          <cell r="E1284" t="str">
            <v>Nh©n c«ng bËc 4,5/7</v>
          </cell>
        </row>
        <row r="1285">
          <cell r="E1285" t="str">
            <v>C. M¸y</v>
          </cell>
        </row>
        <row r="1286">
          <cell r="E1286" t="str">
            <v>KÝch 250T</v>
          </cell>
        </row>
        <row r="1287">
          <cell r="E1287" t="str">
            <v xml:space="preserve">V/c thiÕt bÞ lao dÇm </v>
          </cell>
        </row>
        <row r="1288">
          <cell r="E1288" t="str">
            <v>tõ kho ®Õn CT 2Km vµ N.l¹i</v>
          </cell>
        </row>
        <row r="1289">
          <cell r="E1289" t="str">
            <v>B.Nh©n c«ng</v>
          </cell>
        </row>
        <row r="1290">
          <cell r="E1290" t="str">
            <v>Nh©n c«ng bËc 4,5/7</v>
          </cell>
        </row>
        <row r="1291">
          <cell r="E1291" t="str">
            <v>C. M¸y</v>
          </cell>
        </row>
        <row r="1292">
          <cell r="E1292" t="str">
            <v>CÈu 25T</v>
          </cell>
        </row>
        <row r="1293">
          <cell r="E1293" t="str">
            <v>Xe ®Çu kÐo vµ moãc</v>
          </cell>
        </row>
        <row r="1294">
          <cell r="E1294" t="str">
            <v>Bao t¶i ®Êt chèng xãi</v>
          </cell>
        </row>
        <row r="1295">
          <cell r="E1295" t="str">
            <v>A.VËt liÖu</v>
          </cell>
        </row>
        <row r="1296">
          <cell r="E1296" t="str">
            <v>Bao t¶i</v>
          </cell>
        </row>
        <row r="1297">
          <cell r="E1297" t="str">
            <v>§Êt trong bao t¶i</v>
          </cell>
        </row>
        <row r="1298">
          <cell r="E1298" t="str">
            <v>B.Nh©n c«ng</v>
          </cell>
        </row>
        <row r="1299">
          <cell r="E1299" t="str">
            <v>Nh©n c«ng bËc 3.0/7</v>
          </cell>
        </row>
        <row r="1300">
          <cell r="E1300" t="str">
            <v>§Êt sÐt luyÖn dÎo</v>
          </cell>
        </row>
        <row r="1301">
          <cell r="E1301" t="str">
            <v>A.VËt liÖu</v>
          </cell>
        </row>
        <row r="1302">
          <cell r="E1302" t="str">
            <v>§Êt sÐt</v>
          </cell>
        </row>
        <row r="1303">
          <cell r="E1303" t="str">
            <v>B.Nh©n c«ng</v>
          </cell>
        </row>
        <row r="1304">
          <cell r="E1304" t="str">
            <v>Nh©n c«ng bËc 3.0/7</v>
          </cell>
        </row>
        <row r="1305">
          <cell r="E1305" t="str">
            <v xml:space="preserve">D¨m s¹n ®Öm </v>
          </cell>
        </row>
        <row r="1306">
          <cell r="E1306" t="str">
            <v>A.VËt liÖu</v>
          </cell>
        </row>
        <row r="1307">
          <cell r="E1307" t="str">
            <v>§¸ d¨m 4x6</v>
          </cell>
        </row>
        <row r="1308">
          <cell r="E1308" t="str">
            <v>B.Nh©n c«ng</v>
          </cell>
        </row>
        <row r="1309">
          <cell r="E1309" t="str">
            <v>Nh©n c«ng bËc 3.0/7</v>
          </cell>
        </row>
        <row r="1310">
          <cell r="E1310" t="str">
            <v>§¾p ®Êt ®­êng c«ng vô K90</v>
          </cell>
        </row>
        <row r="1311">
          <cell r="E1311" t="str">
            <v>C. M¸y</v>
          </cell>
        </row>
        <row r="1312">
          <cell r="E1312" t="str">
            <v>M¸y ®Çm 9T</v>
          </cell>
        </row>
        <row r="1313">
          <cell r="E1313" t="str">
            <v>M¸y ñi 110cv</v>
          </cell>
        </row>
        <row r="1314">
          <cell r="E1314" t="str">
            <v>B.Nh©n c«ng</v>
          </cell>
        </row>
        <row r="1315">
          <cell r="E1315" t="str">
            <v>Nh©n c«ng bËc 3.0/7</v>
          </cell>
        </row>
        <row r="1316">
          <cell r="E1316" t="str">
            <v>Xóc ®¸ ®æ ®i</v>
          </cell>
        </row>
        <row r="1317">
          <cell r="E1317" t="str">
            <v>C. M¸y</v>
          </cell>
        </row>
        <row r="1318">
          <cell r="E1318" t="str">
            <v>M¸y ®µo&lt;=0.8m3</v>
          </cell>
        </row>
        <row r="1319">
          <cell r="E1319" t="str">
            <v>¤t« tù ®æ 10T</v>
          </cell>
        </row>
        <row r="1320">
          <cell r="E1320" t="str">
            <v>M¸y ñi 110cv</v>
          </cell>
        </row>
        <row r="1321">
          <cell r="E1321" t="str">
            <v>(M¸y nh©n K=1,15)</v>
          </cell>
        </row>
        <row r="1322">
          <cell r="E1322" t="str">
            <v>B.Nh©n c«ng</v>
          </cell>
        </row>
        <row r="1323">
          <cell r="E1323" t="str">
            <v>Nh©n c«ng bËc 3.0/7</v>
          </cell>
        </row>
        <row r="1324">
          <cell r="E1324" t="str">
            <v>(nh©n c«ng nh©n K=1,3)</v>
          </cell>
        </row>
        <row r="1325">
          <cell r="E1325" t="str">
            <v>VËn chuyÓn ®¸ ®æ ®i L=1Km</v>
          </cell>
        </row>
        <row r="1326">
          <cell r="E1326" t="str">
            <v>C. M¸y</v>
          </cell>
        </row>
        <row r="1327">
          <cell r="E1327" t="str">
            <v>¤t« tù ®æ 10T</v>
          </cell>
        </row>
        <row r="1328">
          <cell r="E1328" t="str">
            <v>§µo ®Êt ®Ó ®¾p + vËn chuyÓn L=2Km</v>
          </cell>
        </row>
        <row r="1329">
          <cell r="E1329" t="str">
            <v>A.VËt liÖu</v>
          </cell>
        </row>
        <row r="1330">
          <cell r="E1330" t="str">
            <v xml:space="preserve">§Êt ®¾p </v>
          </cell>
        </row>
        <row r="1331">
          <cell r="E1331" t="str">
            <v>C. M¸y</v>
          </cell>
        </row>
        <row r="1332">
          <cell r="E1332" t="str">
            <v>M¸y ®µo&lt;=0.8m3</v>
          </cell>
        </row>
        <row r="1333">
          <cell r="E1333" t="str">
            <v>¤t« tù ®æ 10T</v>
          </cell>
        </row>
        <row r="1334">
          <cell r="E1334" t="str">
            <v>¤t« tù ®æ 10T VchuyÓn tiÕp 1Km (BJ.1133)</v>
          </cell>
        </row>
        <row r="1335">
          <cell r="E1335" t="str">
            <v>M¸y ñi 110cv</v>
          </cell>
        </row>
        <row r="1336">
          <cell r="E1336" t="str">
            <v>B.Nh©n c«ng</v>
          </cell>
        </row>
        <row r="1337">
          <cell r="E1337" t="str">
            <v>Nh©n c«ng bËc 3.0/7</v>
          </cell>
        </row>
        <row r="1338">
          <cell r="E1338" t="str">
            <v>§¾p ®Êt khung v©y</v>
          </cell>
        </row>
        <row r="1339">
          <cell r="E1339" t="str">
            <v>C. M¸y</v>
          </cell>
        </row>
        <row r="1340">
          <cell r="E1340" t="str">
            <v>M¸y ®Çm 9T</v>
          </cell>
        </row>
        <row r="1341">
          <cell r="E1341" t="str">
            <v>M¸y ñi 110cv</v>
          </cell>
        </row>
        <row r="1342">
          <cell r="E1342" t="str">
            <v xml:space="preserve">CÊp phèi ®¸ d¨m </v>
          </cell>
        </row>
        <row r="1343">
          <cell r="E1343" t="str">
            <v>A.VËt liÖu</v>
          </cell>
        </row>
        <row r="1344">
          <cell r="E1344" t="str">
            <v>CÊp phèi ®¸ d¨m</v>
          </cell>
        </row>
        <row r="1345">
          <cell r="E1345" t="str">
            <v>B.Nh©n c«ng</v>
          </cell>
        </row>
        <row r="1346">
          <cell r="E1346" t="str">
            <v>Nh©n c«ng bËc 4,0/7</v>
          </cell>
        </row>
        <row r="1347">
          <cell r="E1347" t="str">
            <v>C. M¸y</v>
          </cell>
        </row>
        <row r="1348">
          <cell r="E1348" t="str">
            <v>M¸y ñi 110cv</v>
          </cell>
        </row>
        <row r="1349">
          <cell r="E1349" t="str">
            <v>M¸y san 110cv</v>
          </cell>
        </row>
        <row r="1350">
          <cell r="E1350" t="str">
            <v>Lu rung 25T</v>
          </cell>
        </row>
        <row r="1351">
          <cell r="E1351" t="str">
            <v>Lu b¸nh lèp 16T</v>
          </cell>
        </row>
        <row r="1352">
          <cell r="E1352" t="str">
            <v>Lu 10T</v>
          </cell>
        </row>
        <row r="1353">
          <cell r="E1353" t="str">
            <v>¤t« t­íi n­íc 5m3</v>
          </cell>
        </row>
        <row r="1354">
          <cell r="E1354" t="str">
            <v>M¸y kh¸c</v>
          </cell>
        </row>
        <row r="1355">
          <cell r="E1355" t="str">
            <v>§¾p nÒn ®­êng K95 ®Êt cÊp 3</v>
          </cell>
        </row>
        <row r="1356">
          <cell r="E1356" t="str">
            <v>C. M¸y</v>
          </cell>
        </row>
        <row r="1357">
          <cell r="E1357" t="str">
            <v>M¸y ®Çm 9T</v>
          </cell>
        </row>
        <row r="1358">
          <cell r="E1358" t="str">
            <v>M¸y ñi 110cv</v>
          </cell>
        </row>
        <row r="1359">
          <cell r="E1359" t="str">
            <v>B.Nh©n c«ng</v>
          </cell>
        </row>
        <row r="1360">
          <cell r="E1360" t="str">
            <v>Nh©n c«ng bËc 3.0/7</v>
          </cell>
        </row>
        <row r="1361">
          <cell r="E1361" t="str">
            <v>Thµnh phÇn BTN trung</v>
          </cell>
        </row>
        <row r="1362">
          <cell r="E1362" t="str">
            <v>A.VËt liÖu</v>
          </cell>
        </row>
        <row r="1363">
          <cell r="E1363" t="str">
            <v>§¸ 0.5x1(20%)</v>
          </cell>
        </row>
        <row r="1364">
          <cell r="E1364" t="str">
            <v>§¸ 1x2 (30%)</v>
          </cell>
        </row>
        <row r="1365">
          <cell r="E1365" t="str">
            <v>C¸t (43%)</v>
          </cell>
        </row>
        <row r="1366">
          <cell r="E1366" t="str">
            <v>Bét ®¸ 7%</v>
          </cell>
        </row>
        <row r="1367">
          <cell r="E1367" t="str">
            <v>Nhùa (5,5%)</v>
          </cell>
        </row>
        <row r="1368">
          <cell r="E1368" t="str">
            <v>BTN trung dµy 7cm</v>
          </cell>
        </row>
        <row r="1369">
          <cell r="E1369" t="str">
            <v>A.VËt liÖu</v>
          </cell>
        </row>
        <row r="1370">
          <cell r="E1370" t="str">
            <v>BT nhùa</v>
          </cell>
        </row>
        <row r="1371">
          <cell r="E1371" t="str">
            <v>B.Nh©n c«ng</v>
          </cell>
        </row>
        <row r="1372">
          <cell r="E1372" t="str">
            <v>Nh©n c«ng bËc 4,0/7</v>
          </cell>
        </row>
        <row r="1373">
          <cell r="E1373" t="str">
            <v>C. M¸y</v>
          </cell>
        </row>
        <row r="1374">
          <cell r="E1374" t="str">
            <v>M¸y r·i 20T/h</v>
          </cell>
        </row>
        <row r="1375">
          <cell r="E1375" t="str">
            <v>Lu 10T</v>
          </cell>
        </row>
        <row r="1376">
          <cell r="E1376" t="str">
            <v>Lu b¸nh lèp 16T</v>
          </cell>
        </row>
        <row r="1377">
          <cell r="E1377" t="str">
            <v>M¸y kh¸c</v>
          </cell>
        </row>
        <row r="1378">
          <cell r="E1378" t="str">
            <v>S¶n xuÊt  BTN</v>
          </cell>
        </row>
        <row r="1379">
          <cell r="E1379" t="str">
            <v>C. M¸y</v>
          </cell>
        </row>
        <row r="1380">
          <cell r="E1380" t="str">
            <v>Tr¹m trén 50-60T/h</v>
          </cell>
        </row>
        <row r="1381">
          <cell r="E1381" t="str">
            <v>M¸y xóc 1.25m3</v>
          </cell>
        </row>
        <row r="1382">
          <cell r="E1382" t="str">
            <v>M¸y ñi 110cv</v>
          </cell>
        </row>
        <row r="1383">
          <cell r="E1383" t="str">
            <v>M¸y kh¸c</v>
          </cell>
        </row>
        <row r="1384">
          <cell r="E1384" t="str">
            <v>VC BTN tõ TT Km7(Qlé9) 
®Õn Ctr×nh L=38km</v>
          </cell>
        </row>
        <row r="1385">
          <cell r="E1385" t="str">
            <v>C. M¸y</v>
          </cell>
        </row>
        <row r="1386">
          <cell r="E1386" t="str">
            <v>¤t« tù ®æ 10T</v>
          </cell>
        </row>
        <row r="1387">
          <cell r="E1387" t="str">
            <v>(0.0165+0.001x34Km)</v>
          </cell>
        </row>
        <row r="1388">
          <cell r="E1388" t="str">
            <v>T­ãi nhùa dÝnh b¸m TC 0,8kg/m2</v>
          </cell>
        </row>
        <row r="1389">
          <cell r="E1389" t="str">
            <v>A.VËt liÖu</v>
          </cell>
        </row>
        <row r="1390">
          <cell r="E1390" t="str">
            <v>Nhùa ®­êng</v>
          </cell>
        </row>
        <row r="1391">
          <cell r="E1391" t="str">
            <v>DÇu mazót</v>
          </cell>
        </row>
        <row r="1392">
          <cell r="E1392" t="str">
            <v>B.Nh©n c«ng</v>
          </cell>
        </row>
        <row r="1393">
          <cell r="E1393" t="str">
            <v>Nh©n c«ng bËc 3.5/7</v>
          </cell>
        </row>
        <row r="1394">
          <cell r="E1394" t="str">
            <v>C. M¸y</v>
          </cell>
        </row>
        <row r="1395">
          <cell r="E1395" t="str">
            <v>¤t« t­íi nhùa 7T</v>
          </cell>
        </row>
        <row r="1396">
          <cell r="E1396" t="str">
            <v>T­ãi nhùa dÝnh b¸m TC 1,5kg/m2</v>
          </cell>
        </row>
        <row r="1397">
          <cell r="E1397" t="str">
            <v>A.VËt liÖu</v>
          </cell>
        </row>
        <row r="1398">
          <cell r="E1398" t="str">
            <v>Nhùa ®­êng</v>
          </cell>
        </row>
        <row r="1399">
          <cell r="E1399" t="str">
            <v>DÇu mazót</v>
          </cell>
        </row>
        <row r="1400">
          <cell r="E1400" t="str">
            <v>B.Nh©n c«ng</v>
          </cell>
        </row>
        <row r="1401">
          <cell r="E1401" t="str">
            <v>Nh©n c«ng bËc 3.5/7</v>
          </cell>
        </row>
        <row r="1402">
          <cell r="E1402" t="str">
            <v>C. M¸y</v>
          </cell>
        </row>
        <row r="1403">
          <cell r="E1403" t="str">
            <v>¤t« t­íi nhùa 7T</v>
          </cell>
        </row>
        <row r="1404">
          <cell r="E1404" t="str">
            <v>§¦ßng hai ®Çu cÇu</v>
          </cell>
        </row>
        <row r="1405">
          <cell r="E1405" t="str">
            <v>T­ãi nhùa dÝnh b¸m TC 1,5kg/m2.</v>
          </cell>
        </row>
        <row r="1406">
          <cell r="E1406" t="str">
            <v>A.VËt liÖu</v>
          </cell>
        </row>
        <row r="1407">
          <cell r="E1407" t="str">
            <v>Nhùa ®­êng</v>
          </cell>
        </row>
        <row r="1408">
          <cell r="E1408" t="str">
            <v>DÇu mazót</v>
          </cell>
        </row>
        <row r="1409">
          <cell r="E1409" t="str">
            <v>B.Nh©n c«ng</v>
          </cell>
        </row>
        <row r="1410">
          <cell r="E1410" t="str">
            <v>Nh©n c«ng bËc 3.5/7</v>
          </cell>
        </row>
        <row r="1411">
          <cell r="E1411" t="str">
            <v>C. M¸y</v>
          </cell>
        </row>
        <row r="1412">
          <cell r="E1412" t="str">
            <v>¤t« t­íi nhùa 7T</v>
          </cell>
        </row>
        <row r="1413">
          <cell r="E1413" t="str">
            <v>V/c ®Êt ®æ ®i L=1Km</v>
          </cell>
        </row>
        <row r="1414">
          <cell r="E1414" t="str">
            <v>C. M¸y</v>
          </cell>
        </row>
        <row r="1415">
          <cell r="E1415" t="str">
            <v>¤t« tù ®æ 10T</v>
          </cell>
        </row>
        <row r="1416">
          <cell r="E1416" t="str">
            <v>§¸ x« bå gia cè mÆt ®­êng dµy 30cm</v>
          </cell>
        </row>
        <row r="1417">
          <cell r="E1417" t="str">
            <v>a - VËt liÖu :</v>
          </cell>
        </row>
        <row r="1418">
          <cell r="E1418" t="str">
            <v>§¸ x« bå</v>
          </cell>
        </row>
        <row r="1419">
          <cell r="E1419" t="str">
            <v>b - Nh©n c«ng</v>
          </cell>
        </row>
        <row r="1420">
          <cell r="E1420" t="str">
            <v>Nh©n c«ng bËc 4,0/7</v>
          </cell>
        </row>
        <row r="1421">
          <cell r="E1421" t="str">
            <v>c - M¸y thi c«ng</v>
          </cell>
        </row>
        <row r="1422">
          <cell r="E1422" t="str">
            <v>M¸y ñi 110cv</v>
          </cell>
        </row>
        <row r="1423">
          <cell r="E1423" t="str">
            <v>M¸y san 110cv</v>
          </cell>
        </row>
        <row r="1424">
          <cell r="E1424" t="str">
            <v>Lu rung 25T</v>
          </cell>
        </row>
        <row r="1425">
          <cell r="E1425" t="str">
            <v>Lu b¸nh lèp 16T</v>
          </cell>
        </row>
        <row r="1426">
          <cell r="E1426" t="str">
            <v>Lu 10T</v>
          </cell>
        </row>
        <row r="1427">
          <cell r="E1427" t="str">
            <v>¤t« t­íi n­íc 5m3</v>
          </cell>
        </row>
        <row r="1428">
          <cell r="E1428" t="str">
            <v>M¸y kh¸c</v>
          </cell>
        </row>
        <row r="1429">
          <cell r="E1429" t="str">
            <v>§¸ d¨m l¸ng nhùa TC3,5kg/m2 dµy 18cm</v>
          </cell>
        </row>
        <row r="1430">
          <cell r="E1430" t="str">
            <v>A.VËt liÖu</v>
          </cell>
        </row>
        <row r="1431">
          <cell r="E1431" t="str">
            <v>§¸ d¨m 4x6</v>
          </cell>
        </row>
        <row r="1432">
          <cell r="E1432" t="str">
            <v>§¸ d¨m 2x4</v>
          </cell>
        </row>
        <row r="1433">
          <cell r="E1433" t="str">
            <v>§¸ d¨m 1x2</v>
          </cell>
        </row>
        <row r="1434">
          <cell r="E1434" t="str">
            <v>§¸ d¨m 0,5x1</v>
          </cell>
        </row>
        <row r="1435">
          <cell r="E1435" t="str">
            <v>Nhùa ®­êng</v>
          </cell>
        </row>
        <row r="1436">
          <cell r="E1436" t="str">
            <v>Cñi</v>
          </cell>
        </row>
        <row r="1437">
          <cell r="E1437" t="str">
            <v>B.Nh©n c«ng</v>
          </cell>
        </row>
        <row r="1438">
          <cell r="E1438" t="str">
            <v>Nh©n c«ng bËc 3.2/7</v>
          </cell>
        </row>
        <row r="1439">
          <cell r="E1439" t="str">
            <v>C. M¸y</v>
          </cell>
        </row>
        <row r="1440">
          <cell r="E1440" t="str">
            <v>M¸y lu 8.5T</v>
          </cell>
        </row>
        <row r="1441">
          <cell r="E1441" t="str">
            <v>Lu lÌn nÒn ®­êng K98.</v>
          </cell>
        </row>
        <row r="1442">
          <cell r="E1442" t="str">
            <v>C. M¸y</v>
          </cell>
        </row>
        <row r="1443">
          <cell r="E1443" t="str">
            <v>¤t« t­íi n­íc 5m3</v>
          </cell>
        </row>
        <row r="1444">
          <cell r="E1444" t="str">
            <v>Lu 10T</v>
          </cell>
        </row>
        <row r="1445">
          <cell r="E1445" t="str">
            <v>M¸y b¬m n­íc 20cv</v>
          </cell>
        </row>
        <row r="1446">
          <cell r="E1446" t="str">
            <v>B.Nh©n c«ng</v>
          </cell>
        </row>
        <row r="1447">
          <cell r="E1447" t="str">
            <v>Nh©n c«ng bËc 2.7/7</v>
          </cell>
        </row>
        <row r="1448">
          <cell r="E1448" t="str">
            <v>BTN trung dµy 7cm.</v>
          </cell>
        </row>
        <row r="1449">
          <cell r="E1449" t="str">
            <v>A.VËt liÖu</v>
          </cell>
        </row>
        <row r="1450">
          <cell r="E1450" t="str">
            <v>BT nhùa</v>
          </cell>
        </row>
        <row r="1451">
          <cell r="E1451" t="str">
            <v>B.Nh©n c«ng</v>
          </cell>
        </row>
        <row r="1452">
          <cell r="E1452" t="str">
            <v>Nh©n c«ng bËc 4,0/7</v>
          </cell>
        </row>
        <row r="1453">
          <cell r="E1453" t="str">
            <v>C. M¸y</v>
          </cell>
        </row>
        <row r="1454">
          <cell r="E1454" t="str">
            <v>M¸y r·i 20T/h</v>
          </cell>
        </row>
        <row r="1455">
          <cell r="E1455" t="str">
            <v>Lu 10T</v>
          </cell>
        </row>
        <row r="1456">
          <cell r="E1456" t="str">
            <v>Lu b¸nh lèp 16T</v>
          </cell>
        </row>
        <row r="1457">
          <cell r="E1457" t="str">
            <v>M¸y kh¸c</v>
          </cell>
        </row>
        <row r="1458">
          <cell r="E1458" t="str">
            <v>D¨m s¹n ®Öm.</v>
          </cell>
        </row>
        <row r="1459">
          <cell r="E1459" t="str">
            <v>A.VËt liÖu</v>
          </cell>
        </row>
        <row r="1460">
          <cell r="E1460" t="str">
            <v>§¸ d¨m 4x6</v>
          </cell>
        </row>
        <row r="1461">
          <cell r="E1461" t="str">
            <v>B.Nh©n c«ng</v>
          </cell>
        </row>
        <row r="1462">
          <cell r="E1462" t="str">
            <v>Nh©n c«ng bËc 3.0/7</v>
          </cell>
        </row>
        <row r="1463">
          <cell r="E1463" t="str">
            <v>§µo ®Êt ®Ó ®¾p + vËn chuyÓn L=2Km.</v>
          </cell>
        </row>
        <row r="1464">
          <cell r="E1464" t="str">
            <v>A.VËt liÖu</v>
          </cell>
        </row>
        <row r="1465">
          <cell r="E1465" t="str">
            <v xml:space="preserve">§Êt ®¾p </v>
          </cell>
        </row>
        <row r="1466">
          <cell r="E1466" t="str">
            <v>C. M¸y</v>
          </cell>
        </row>
        <row r="1467">
          <cell r="E1467" t="str">
            <v>M¸y ®µo&lt;=0.8m3</v>
          </cell>
        </row>
        <row r="1468">
          <cell r="E1468" t="str">
            <v>¤t« tù ®æ 10T</v>
          </cell>
        </row>
        <row r="1469">
          <cell r="E1469" t="str">
            <v>¤t« tù ®æ 10T VchuyÓn tiÕp 1Km (BJ.1133)</v>
          </cell>
        </row>
        <row r="1470">
          <cell r="E1470" t="str">
            <v>M¸y ñi 110cv</v>
          </cell>
        </row>
        <row r="1471">
          <cell r="E1471" t="str">
            <v>B.Nh©n c«ng</v>
          </cell>
        </row>
        <row r="1472">
          <cell r="E1472" t="str">
            <v>Nh©n c«ng bËc 3.0/7</v>
          </cell>
        </row>
        <row r="1473">
          <cell r="E1473" t="str">
            <v>CP sái s¹n lµm mÆt b»ng b·i chøa VL vµ ®­êng c/vô b·i ®óc dÇm dµy 10cm</v>
          </cell>
        </row>
        <row r="1474">
          <cell r="E1474" t="str">
            <v>A.VËt liÖu</v>
          </cell>
        </row>
        <row r="1475">
          <cell r="E1475" t="str">
            <v xml:space="preserve">CÊp phèi sái s¹n </v>
          </cell>
        </row>
        <row r="1476">
          <cell r="E1476" t="str">
            <v>B.Nh©n c«ng</v>
          </cell>
        </row>
        <row r="1477">
          <cell r="E1477" t="str">
            <v>Nh©n c«ng bËc 2.5/7</v>
          </cell>
        </row>
        <row r="1478">
          <cell r="E1478" t="str">
            <v>C. M¸y</v>
          </cell>
        </row>
        <row r="1479">
          <cell r="E1479" t="str">
            <v>M¸y lu 8.5T</v>
          </cell>
        </row>
        <row r="1480">
          <cell r="E1480" t="str">
            <v>M¸y kh¸c</v>
          </cell>
        </row>
        <row r="1481">
          <cell r="E1481" t="str">
            <v>CÊp phèi ®¸ d¨m .</v>
          </cell>
        </row>
        <row r="1482">
          <cell r="E1482" t="str">
            <v>A.VËt liÖu</v>
          </cell>
        </row>
        <row r="1483">
          <cell r="E1483" t="str">
            <v>CÊp phèi ®¸ d¨m</v>
          </cell>
        </row>
        <row r="1484">
          <cell r="E1484" t="str">
            <v>B.Nh©n c«ng</v>
          </cell>
        </row>
        <row r="1485">
          <cell r="E1485" t="str">
            <v>Nh©n c«ng bËc 4,0/7</v>
          </cell>
        </row>
        <row r="1486">
          <cell r="E1486" t="str">
            <v>C. M¸y</v>
          </cell>
        </row>
        <row r="1487">
          <cell r="E1487" t="str">
            <v>M¸y ñi 110cv</v>
          </cell>
        </row>
        <row r="1488">
          <cell r="E1488" t="str">
            <v>M¸y san 110cv</v>
          </cell>
        </row>
        <row r="1489">
          <cell r="E1489" t="str">
            <v>Lu rung 25T</v>
          </cell>
        </row>
        <row r="1490">
          <cell r="E1490" t="str">
            <v>Lu b¸nh lèp 16T</v>
          </cell>
        </row>
        <row r="1491">
          <cell r="E1491" t="str">
            <v>Lu 10T</v>
          </cell>
        </row>
        <row r="1492">
          <cell r="E1492" t="str">
            <v>¤t« t­íi n­íc 5m3</v>
          </cell>
        </row>
        <row r="1493">
          <cell r="E1493" t="str">
            <v>M¸y kh¸c</v>
          </cell>
        </row>
        <row r="1494">
          <cell r="E1494" t="str">
            <v>§¾p nÒn ®­êng K98 ®Êt cÊp 3.</v>
          </cell>
        </row>
        <row r="1495">
          <cell r="E1495" t="str">
            <v>C. M¸y</v>
          </cell>
        </row>
        <row r="1496">
          <cell r="E1496" t="str">
            <v>M¸y ®Çm 25T</v>
          </cell>
        </row>
        <row r="1497">
          <cell r="E1497" t="str">
            <v>M¸y ñi 110cv</v>
          </cell>
        </row>
        <row r="1498">
          <cell r="E1498" t="str">
            <v>M¸y san 110cv</v>
          </cell>
        </row>
        <row r="1499">
          <cell r="E1499" t="str">
            <v>M¸y kh¸c</v>
          </cell>
        </row>
        <row r="1500">
          <cell r="E1500" t="str">
            <v>B.Nh©n c«ng</v>
          </cell>
        </row>
        <row r="1501">
          <cell r="E1501" t="str">
            <v>Nh©n c«ng bËc 3.0/7</v>
          </cell>
        </row>
        <row r="1502">
          <cell r="E1502" t="str">
            <v>§¾p nÒn ®­êng K95 ®Êt cÊp 3.</v>
          </cell>
        </row>
        <row r="1503">
          <cell r="E1503" t="str">
            <v>C. M¸y</v>
          </cell>
        </row>
        <row r="1504">
          <cell r="E1504" t="str">
            <v>M¸y ®Çm 9T</v>
          </cell>
        </row>
        <row r="1505">
          <cell r="E1505" t="str">
            <v>M¸y ñi 110cv</v>
          </cell>
        </row>
        <row r="1506">
          <cell r="E1506" t="str">
            <v>B.Nh©n c«ng</v>
          </cell>
        </row>
        <row r="1507">
          <cell r="E1507" t="str">
            <v>Nh©n c«ng bËc 3.0/7</v>
          </cell>
        </row>
        <row r="1508">
          <cell r="E1508" t="str">
            <v>§µo ®Êt h÷u c¬ nÒn ®­êng më réng</v>
          </cell>
        </row>
        <row r="1509">
          <cell r="E1509" t="str">
            <v>C. M¸y</v>
          </cell>
        </row>
        <row r="1510">
          <cell r="E1510" t="str">
            <v>M¸y ®µo&lt;=0.8m3</v>
          </cell>
        </row>
        <row r="1511">
          <cell r="E1511" t="str">
            <v>¤t« tù ®æ 10T</v>
          </cell>
        </row>
        <row r="1512">
          <cell r="E1512" t="str">
            <v>M¸y ñi 110cv</v>
          </cell>
        </row>
        <row r="1513">
          <cell r="E1513" t="str">
            <v>B.Nh©n c«ng</v>
          </cell>
        </row>
        <row r="1514">
          <cell r="E1514" t="str">
            <v>Nh©n c«ng bËc 3.0/7</v>
          </cell>
        </row>
        <row r="1515">
          <cell r="E1515" t="str">
            <v>V/c ®Êt h÷u c¬ ®æ ®i L=1Km</v>
          </cell>
        </row>
        <row r="1516">
          <cell r="E1516" t="str">
            <v>C. M¸y</v>
          </cell>
        </row>
        <row r="1517">
          <cell r="E1517" t="str">
            <v>¤t« tù ®æ 10T</v>
          </cell>
        </row>
        <row r="1518">
          <cell r="E1518" t="str">
            <v>§µo nÒn ®­êng më réng ®Êt cÊp 3.</v>
          </cell>
        </row>
        <row r="1519">
          <cell r="E1519" t="str">
            <v>C. M¸y</v>
          </cell>
        </row>
        <row r="1520">
          <cell r="E1520" t="str">
            <v>M¸y ®µo&lt;=0.8m3</v>
          </cell>
        </row>
        <row r="1521">
          <cell r="E1521" t="str">
            <v>¤t« tù ®æ 10T</v>
          </cell>
        </row>
        <row r="1522">
          <cell r="E1522" t="str">
            <v>M¸y ñi 110cv</v>
          </cell>
        </row>
        <row r="1523">
          <cell r="E1523" t="str">
            <v>B.Nh©n c«ng</v>
          </cell>
        </row>
        <row r="1524">
          <cell r="E1524" t="str">
            <v>Nh©n c«ng bËc 3.0/7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Tong_ke"/>
      <sheetName val="Cau_kien "/>
      <sheetName val="T hop-C kien"/>
      <sheetName val="Phan_day"/>
      <sheetName val="C to"/>
      <sheetName val="T hop-C to"/>
      <sheetName val="Du Toan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Tongke"/>
    </sheetNames>
    <sheetDataSet>
      <sheetData sheetId="0"/>
      <sheetData sheetId="1" refreshError="1">
        <row r="5">
          <cell r="Q5" t="str">
            <v>H4</v>
          </cell>
        </row>
        <row r="6">
          <cell r="Q6" t="str">
            <v>H4</v>
          </cell>
        </row>
        <row r="7">
          <cell r="R7" t="str">
            <v>H2</v>
          </cell>
        </row>
        <row r="8">
          <cell r="R8" t="str">
            <v>H2</v>
          </cell>
        </row>
        <row r="10">
          <cell r="R10" t="str">
            <v>H2</v>
          </cell>
        </row>
        <row r="13">
          <cell r="R13" t="str">
            <v>H2</v>
          </cell>
        </row>
        <row r="14">
          <cell r="R14" t="str">
            <v>H2</v>
          </cell>
        </row>
        <row r="15">
          <cell r="R15" t="str">
            <v>H2</v>
          </cell>
        </row>
        <row r="16">
          <cell r="R16" t="str">
            <v>H2</v>
          </cell>
        </row>
        <row r="18">
          <cell r="Q18" t="str">
            <v>H4</v>
          </cell>
        </row>
        <row r="19">
          <cell r="R19" t="str">
            <v>H2</v>
          </cell>
        </row>
        <row r="20">
          <cell r="R20" t="str">
            <v>H2</v>
          </cell>
        </row>
        <row r="21">
          <cell r="Q21" t="str">
            <v>H4</v>
          </cell>
        </row>
        <row r="23">
          <cell r="R23" t="str">
            <v>H2</v>
          </cell>
        </row>
        <row r="25">
          <cell r="Q25" t="str">
            <v>H4</v>
          </cell>
        </row>
        <row r="27">
          <cell r="R27" t="str">
            <v>H2</v>
          </cell>
        </row>
        <row r="28">
          <cell r="R28" t="str">
            <v>H2</v>
          </cell>
        </row>
        <row r="30">
          <cell r="R30" t="str">
            <v>H2</v>
          </cell>
        </row>
        <row r="32">
          <cell r="R32" t="str">
            <v>H2</v>
          </cell>
        </row>
        <row r="38">
          <cell r="R38" t="str">
            <v>H2</v>
          </cell>
        </row>
        <row r="39">
          <cell r="R39" t="str">
            <v>H2</v>
          </cell>
        </row>
        <row r="42">
          <cell r="R42" t="str">
            <v>H2</v>
          </cell>
        </row>
        <row r="43">
          <cell r="Q43" t="str">
            <v>2H6</v>
          </cell>
        </row>
        <row r="44">
          <cell r="Q44" t="str">
            <v>H6</v>
          </cell>
        </row>
        <row r="45">
          <cell r="R45" t="str">
            <v>H2</v>
          </cell>
        </row>
        <row r="48">
          <cell r="R48" t="str">
            <v>H2</v>
          </cell>
        </row>
        <row r="49">
          <cell r="Q49" t="str">
            <v>H4</v>
          </cell>
        </row>
        <row r="50">
          <cell r="R50" t="str">
            <v>H2</v>
          </cell>
        </row>
        <row r="51">
          <cell r="R51" t="str">
            <v>H2</v>
          </cell>
        </row>
        <row r="52">
          <cell r="Q52" t="str">
            <v>H4</v>
          </cell>
        </row>
        <row r="53">
          <cell r="R53" t="str">
            <v>H2</v>
          </cell>
        </row>
        <row r="54">
          <cell r="Q54" t="str">
            <v>H6</v>
          </cell>
        </row>
        <row r="55">
          <cell r="Q55" t="str">
            <v>H4</v>
          </cell>
        </row>
        <row r="56">
          <cell r="Q56" t="str">
            <v>H4</v>
          </cell>
        </row>
        <row r="57">
          <cell r="Q57" t="str">
            <v>H4</v>
          </cell>
        </row>
        <row r="58">
          <cell r="Q58" t="str">
            <v>H4</v>
          </cell>
        </row>
        <row r="59">
          <cell r="Q59" t="str">
            <v>H4</v>
          </cell>
        </row>
        <row r="60">
          <cell r="Q60" t="str">
            <v>H4</v>
          </cell>
        </row>
        <row r="61">
          <cell r="Q61" t="str">
            <v>H4</v>
          </cell>
        </row>
        <row r="62">
          <cell r="R62" t="str">
            <v>H2</v>
          </cell>
        </row>
        <row r="63">
          <cell r="Q63" t="str">
            <v>H4</v>
          </cell>
        </row>
        <row r="64">
          <cell r="Q64" t="str">
            <v>H4</v>
          </cell>
        </row>
        <row r="65">
          <cell r="Q65" t="str">
            <v>H6</v>
          </cell>
        </row>
        <row r="66">
          <cell r="Q66" t="str">
            <v>2H6</v>
          </cell>
        </row>
        <row r="67">
          <cell r="R67" t="str">
            <v>H2</v>
          </cell>
        </row>
        <row r="68">
          <cell r="Q68" t="str">
            <v>H6</v>
          </cell>
        </row>
        <row r="69">
          <cell r="Q69" t="str">
            <v>H6</v>
          </cell>
        </row>
        <row r="70">
          <cell r="R70" t="str">
            <v>H2</v>
          </cell>
        </row>
        <row r="71">
          <cell r="R71" t="str">
            <v>H2</v>
          </cell>
        </row>
        <row r="72">
          <cell r="Q72" t="str">
            <v>H4</v>
          </cell>
        </row>
        <row r="73">
          <cell r="Q73" t="str">
            <v>H4</v>
          </cell>
        </row>
        <row r="74">
          <cell r="R74" t="str">
            <v>H2</v>
          </cell>
        </row>
        <row r="75">
          <cell r="Q75" t="str">
            <v>2H6</v>
          </cell>
        </row>
        <row r="76">
          <cell r="Q76" t="str">
            <v>H4</v>
          </cell>
        </row>
        <row r="77">
          <cell r="Q77" t="str">
            <v>H4</v>
          </cell>
        </row>
        <row r="78">
          <cell r="Q78" t="str">
            <v>H4</v>
          </cell>
        </row>
        <row r="79">
          <cell r="Q79" t="str">
            <v>H4</v>
          </cell>
        </row>
        <row r="80">
          <cell r="R80" t="str">
            <v>H2</v>
          </cell>
        </row>
        <row r="82">
          <cell r="R82" t="str">
            <v>H2</v>
          </cell>
        </row>
        <row r="83">
          <cell r="Q83" t="str">
            <v>H4</v>
          </cell>
        </row>
        <row r="84">
          <cell r="R84" t="str">
            <v>H2</v>
          </cell>
        </row>
        <row r="85">
          <cell r="R85" t="str">
            <v>H2</v>
          </cell>
        </row>
        <row r="86">
          <cell r="Q86" t="str">
            <v>H4</v>
          </cell>
        </row>
        <row r="87">
          <cell r="R87" t="str">
            <v>H2</v>
          </cell>
        </row>
        <row r="88">
          <cell r="Q88" t="str">
            <v>H4</v>
          </cell>
        </row>
        <row r="89">
          <cell r="Q89" t="str">
            <v>H4</v>
          </cell>
        </row>
        <row r="91">
          <cell r="R91" t="str">
            <v>H2</v>
          </cell>
        </row>
        <row r="92">
          <cell r="Q92" t="str">
            <v>H4</v>
          </cell>
        </row>
        <row r="97">
          <cell r="R97" t="str">
            <v>H2</v>
          </cell>
        </row>
        <row r="99">
          <cell r="Q99" t="str">
            <v>H4</v>
          </cell>
        </row>
        <row r="100">
          <cell r="R100" t="str">
            <v>H2</v>
          </cell>
        </row>
        <row r="104">
          <cell r="R104" t="str">
            <v>H2</v>
          </cell>
        </row>
        <row r="105">
          <cell r="Q105" t="str">
            <v>H4</v>
          </cell>
        </row>
        <row r="124">
          <cell r="Q124" t="str">
            <v>H4</v>
          </cell>
        </row>
        <row r="128">
          <cell r="R128" t="str">
            <v>H2</v>
          </cell>
        </row>
        <row r="130">
          <cell r="Q130" t="str">
            <v>H4</v>
          </cell>
        </row>
        <row r="131">
          <cell r="Q131" t="str">
            <v>2H4</v>
          </cell>
        </row>
        <row r="132">
          <cell r="Q132" t="str">
            <v>H6</v>
          </cell>
        </row>
        <row r="133">
          <cell r="Q133" t="str">
            <v>2H6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 AM DT"/>
      <sheetName val="C,PHI"/>
      <sheetName val="catnen"/>
      <sheetName val="CAODO"/>
      <sheetName val="MD-HG"/>
      <sheetName val="RANH SDOC"/>
      <sheetName val="Sheet1"/>
      <sheetName val="Sheet2"/>
      <sheetName val="Sheet3"/>
      <sheetName val="XL4Poppy"/>
      <sheetName val="DANH SACH"/>
      <sheetName val="00000000"/>
      <sheetName val="10000000"/>
      <sheetName val="TAM QUANG"/>
      <sheetName val="T1-2006"/>
      <sheetName val="T2-06"/>
      <sheetName val="T3-06"/>
      <sheetName val="T4,06"/>
      <sheetName val="T5-2006"/>
      <sheetName val="T6-2006"/>
      <sheetName val="T7-2006"/>
      <sheetName val="SPL4"/>
      <sheetName val="Dskh diem le-F5 vnm"/>
      <sheetName val="DSKH DIEM LE NPP"/>
      <sheetName val="tra-vat-lieu"/>
      <sheetName val="Doi chieu I-2006"/>
      <sheetName val="Thu I"/>
      <sheetName val="7_BCT"/>
      <sheetName val="6-BCT (3)"/>
      <sheetName val="B CAO 3-06"/>
      <sheetName val="DIENTHOAI"/>
      <sheetName val="Luy ke I"/>
      <sheetName val="Baocaothu"/>
      <sheetName val="B CAO THANG"/>
      <sheetName val="S03-BH"/>
      <sheetName val="Bang gia tong hop"/>
      <sheetName val="MTL$-INTER"/>
      <sheetName val="Tong_ke"/>
      <sheetName val="gVL"/>
      <sheetName val="CTCLCH~1"/>
      <sheetName val="Tinh toan"/>
      <sheetName val="So lieu"/>
      <sheetName val="TONG KE DZ 0.4 KV"/>
      <sheetName val="Sheat1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IEU"/>
      <sheetName val="PTDG"/>
      <sheetName val="DTCT"/>
      <sheetName val="DS cau"/>
      <sheetName val="tong hop"/>
      <sheetName val="phan tich DG"/>
      <sheetName val="gia vat lieu"/>
      <sheetName val="gia xe may"/>
      <sheetName val="gia nhan cong"/>
      <sheetName val="XL4Test5"/>
      <sheetName val="DANH SACH"/>
      <sheetName val="Sheet1"/>
      <sheetName val="Sheet3"/>
      <sheetName val="00000000"/>
      <sheetName val="10000000"/>
      <sheetName val="PHAN TICH VAT TU NGANG"/>
      <sheetName val="BANG DU TOAN"/>
      <sheetName val="BANG DU TOAN DRC"/>
      <sheetName val="DIEN GIAI TIEN LUONG"/>
      <sheetName val="TONG HOP KINH PHI"/>
      <sheetName val="CHIET TINH DON GIA"/>
      <sheetName val="PHAN TICH KHOI LUONG"/>
      <sheetName val="TH VAT TU"/>
      <sheetName val="VC OTO"/>
      <sheetName val="VC BO"/>
      <sheetName val="PHAN TICH VAT TU"/>
      <sheetName val="PHAN TICH VAT TU THEO NHOM"/>
      <sheetName val="TONG HOP NHAN CONG"/>
      <sheetName val="TONG HOP CA MAY"/>
      <sheetName val="DON GIA TONG HOP"/>
      <sheetName val="DIEN GIAI CPSX"/>
      <sheetName val="BANG GIA DU TOAN THUY LOI"/>
      <sheetName val="DON GIA TONG HOP THUY LOI"/>
      <sheetName val="BANG GIA DAU THAU"/>
      <sheetName val="DIEN GIAI TIEN LUONG DRC"/>
      <sheetName val="BANG GIA DEN CHAN CT"/>
      <sheetName val="BANG BU VAN CHUYEN"/>
      <sheetName val="CHI PHI CA MAY"/>
      <sheetName val="CHI PHI NHAN CONG"/>
      <sheetName val="PHAN TICH DGCT"/>
      <sheetName val="PHAN TICH DGCT TP"/>
      <sheetName val="PHAN TICH`VAT TU"/>
      <sheetName val="GT"/>
      <sheetName val="DGTHDC"/>
      <sheetName val="GM"/>
      <sheetName val="GVL"/>
      <sheetName val="GNC"/>
      <sheetName val="DKTT"/>
      <sheetName val="CTPTTC"/>
      <sheetName val="NC"/>
      <sheetName val="DIEN GIAI KL"/>
      <sheetName val="KLTHEP"/>
      <sheetName val="KL DUONG GOM"/>
      <sheetName val="Sheet19"/>
      <sheetName val="TGTHUC HIEN"/>
      <sheetName val="KLLK THUC HIEN"/>
      <sheetName val="GTNTTTD1"/>
      <sheetName val="DGTHT"/>
      <sheetName val="PTCT MUONG"/>
      <sheetName val="DGTH MUONG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XXXXXXXX"/>
      <sheetName val="Sheet5_x0000__x0008__x0006__x0008__x0003_ဠ_x0000_蜰Ư༢_x0000_螸Ư༢_x0000_蠼Ư༢_x0000_裀Ư༢_x0000_襄Ư"/>
      <sheetName val="THKP"/>
      <sheetName val="ctTBA"/>
      <sheetName val="TTTram"/>
      <sheetName val="BO"/>
      <sheetName val="DO AM DT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GVT"/>
      <sheetName val="Tien An T11"/>
      <sheetName val="DNPD-QL"/>
      <sheetName val="Bang luong"/>
      <sheetName val="Bang CC"/>
      <sheetName val=" Luong nghien "/>
      <sheetName val="QT-LN"/>
      <sheetName val="Giantiep"/>
      <sheetName val="Phuc vu"/>
      <sheetName val="May Phat"/>
      <sheetName val="1813"/>
      <sheetName val="MTO REV.2(ARMOR)"/>
      <sheetName val="BANG DU TGAN DRC"/>
      <sheetName val="VC B_x000f_"/>
      <sheetName val="PHAN DICH VAT TU"/>
      <sheetName val="DIEL GIAI KL"/>
      <sheetName val="KLDK THUC HIEN"/>
      <sheetName val="Shaet30"/>
      <sheetName val="Sheet#2"/>
      <sheetName val="Qheet36"/>
      <sheetName val="Tai khoan"/>
      <sheetName val="Tongke"/>
      <sheetName val="Dot31"/>
      <sheetName val="Dot32"/>
      <sheetName val="Dot33"/>
      <sheetName val="Dot34"/>
      <sheetName val="Dot35"/>
      <sheetName val="Dot26"/>
      <sheetName val="Dot27"/>
      <sheetName val="Dot28"/>
      <sheetName val="Dot29"/>
      <sheetName val="Dot30"/>
      <sheetName val="Sheet2"/>
      <sheetName val="VL,NC"/>
      <sheetName val="giathanh1"/>
      <sheetName val="QTDG"/>
      <sheetName val="gia xe _x0000_ay"/>
      <sheetName val="DTCT-TB"/>
      <sheetName val="TONG KE DZ 0.4 KV"/>
      <sheetName val="Bia TQT"/>
      <sheetName val="Thuc thanh"/>
      <sheetName val="Sheet5_x0000__x0008__x0006__x0008__x0003_ဠ_x0000_蜰Ư༢_x0000_螸Ư༢_x0000_蠼Ư༢_x0000_⋀_x000f_쀀꾈∁_x000f_"/>
      <sheetName val="Sheet5"/>
      <sheetName val="?_x0000_?U?_x0000_?U?_x0000_?U?_x0000_?U?_x0000_?U?_x0000_?U?_x0000__x0000__x0000__x0000__x0000__x0000_"/>
      <sheetName val="Sheet5_x0000__x0008__x0006__x0008__x0003_?_x0000_?U?_x0000_?U?_x0000_?U?_x0000_?U?_x0000_?U"/>
      <sheetName val="Sheet5_x0000__x0008__x0006__x0008__x0003_?_x0000_?U?_x0000_?U?_x0000_?U?_x0000_?_x000f_???_x000f_"/>
      <sheetName val="TONG HOP K©N© 2ÈI"/>
      <sheetName val="Sheet5_x0000__x0008__x0006__x0008__x0003_ဠ 蜰Ư༢_x0000_螸Ư༢_x0000_蠼Ư༢_x0000_裀Ư༢_x0000_襄Ư"/>
      <sheetName val="Luong T1- 03"/>
      <sheetName val="Luong T2- 03"/>
      <sheetName val="Luong T3- 03"/>
      <sheetName val="TT04"/>
      <sheetName val="gia xe "/>
      <sheetName val="_"/>
      <sheetName val="TONGSBU"/>
      <sheetName val="TL rieng"/>
      <sheetName val="?"/>
      <sheetName val="Sheet5?_x0008__x0006__x0008__x0003_ဠ?蜰Ư༢?螸Ư༢?蠼Ư༢?裀Ư༢?襄Ư"/>
      <sheetName val="Sheet5?_x0008__x0006__x0008__x0003_ဠ?蜰Ư༢?螸Ư༢?蠼Ư༢?⋀_x000f_쀀꾈∁_x000f_"/>
      <sheetName val="???U???U???U???U???U???U???????"/>
      <sheetName val="Sheet5?_x0008__x0006__x0008__x0003_???U???U???U???U???U"/>
      <sheetName val="Sheet5?_x0008__x0006__x0008__x0003_???U???U???U???_x000f_???_x000f_"/>
      <sheetName val="???U???U???U???U???U???U??"/>
      <sheetName val="PHAN TICH VAT T_x0015_ NGANG"/>
      <sheetName val="PHAN TACH VAT TU THEO NHOM"/>
      <sheetName val="TONG HOP NHAN CNNG"/>
      <sheetName val="DIEF GIAI CPSX"/>
      <sheetName val="BANG GIA DU UOAN THUY LOI"/>
      <sheetName val="Gia KS"/>
      <sheetName val="dtct cau"/>
      <sheetName val="? ?U?_x0000_?U?_x0000_?U?_x0000_?U?_x0000_?U?_x0000_?U?_x0000__x0000__x0000__x0000__x0000__x0000_"/>
      <sheetName val="CHIET TINH DGN GIA"/>
      <sheetName val="?_x0000_?Ý?_x0000_?Ý?_x0000_?Ý?_x0000_?Ý?_x0000_?Ý?_x0000_?Ý?_x0000__x0000__x0000__x0000__x0000__x0000_"/>
      <sheetName val="Sheet5_x0000__x0008__x0006__x0008__x0003_?_x0000_?Ý?_x0000_?Ý?_x0000_?Ý?_x0000_?Ý?_x0000_?Ý"/>
      <sheetName val="Chi tiet1"/>
      <sheetName val="TONG KE"/>
      <sheetName val="Electrical Breakdown"/>
      <sheetName val="dg"/>
      <sheetName val="ay (28-10-2005)_x0000__x0000_#2_Du toan nga"/>
      <sheetName val="Sheet5?_x0008__x0006__x0008__x0003_ဠ 蜰Ư༢?螸Ư༢?蠼Ư༢?裀Ư༢?襄Ư"/>
      <sheetName val="DS_cau"/>
      <sheetName val="DANH_SACH"/>
      <sheetName val="tong_hop"/>
      <sheetName val="phan_tich_DG"/>
      <sheetName val="gia_vat_lieu"/>
      <sheetName val="gia_xe_may"/>
      <sheetName val="gia_nhan_cong"/>
      <sheetName val="PHAN_TICH_VAT_TU_NGANG"/>
      <sheetName val="BANG_DU_TOAN"/>
      <sheetName val="BANG_DU_TOAN_DRC"/>
      <sheetName val="DIEN_GIAI_TIEN_LUONG"/>
      <sheetName val="TONG_HOP_KINH_PHI"/>
      <sheetName val="CHIET_TINH_DON_GIA"/>
      <sheetName val="PHAN_TICH_KHOI_LUONG"/>
      <sheetName val="TH_VAT_TU"/>
      <sheetName val="VC_OTO"/>
      <sheetName val="VC_BO"/>
      <sheetName val="PHAN_TICH_VAT_TU"/>
      <sheetName val="PHAN_TICH_VAT_TU_THEO_NHOM"/>
      <sheetName val="TONG_HOP_NHAN_CONG"/>
      <sheetName val="TONG_HOP_CA_MAY"/>
      <sheetName val="DON_GIA_TONG_HOP"/>
      <sheetName val="DIEN_GIAI_CPSX"/>
      <sheetName val="BANG_GIA_DU_TOAN_THUY_LOI"/>
      <sheetName val="DON_GIA_TONG_HOP_THUY_LOI"/>
      <sheetName val="BANG_GIA_DAU_THAU"/>
      <sheetName val="DIEN_GIAI_TIEN_LUONG_DRC"/>
      <sheetName val="BANG_GIA_DEN_CHAN_CT"/>
      <sheetName val="BANG_BU_VAN_CHUYEN"/>
      <sheetName val="CHI_PHI_CA_MAY"/>
      <sheetName val="CHI_PHI_NHAN_CONG"/>
      <sheetName val="PHAN_TICH_DGCT"/>
      <sheetName val="PHAN_TICH_DGCT_TP"/>
      <sheetName val="Sheet5ဠ蜰Ư༢螸Ư༢蠼Ư༢裀Ư༢襄Ư༢览Ư༢"/>
      <sheetName val="DIEN_GIAI_KL"/>
      <sheetName val="KL_DUONG_GOM"/>
      <sheetName val="TGTHUC_HIEN"/>
      <sheetName val="KLLK_THUC_HIEN"/>
      <sheetName val="PTCT_MUONG"/>
      <sheetName val="DGTH_MUONG"/>
      <sheetName val="PHAN_TICH`VAT_TU"/>
      <sheetName val="Thuc_thanh"/>
      <sheetName val="Sheet5ဠ蜰Ư༢螸Ư༢蠼Ư༢裀Ư༢襄Ư"/>
      <sheetName val="Tien_An_T11"/>
      <sheetName val="Bang_luong"/>
      <sheetName val="Bang_CC"/>
      <sheetName val="_Luong_nghien_"/>
      <sheetName val="Phuc_vu"/>
      <sheetName val="May_Phat"/>
      <sheetName val="Shɥet5_x0000__x0008__x0006__x0008__x0003_ဠ 蜰Ư༢_x0000_螸Ư༢_x0000_蠼Ư༢_x0000_裀Ư༢_x0000_襄Ư"/>
      <sheetName val="'ia nhan cong"/>
      <sheetName val="gia xe ?ay"/>
      <sheetName val="???Ý???Ý???Ý???Ý???Ý???Ý???????"/>
      <sheetName val="Sheet5?_x0008__x0006__x0008__x0003_???Ý???Ý???Ý???Ý???Ý"/>
      <sheetName val="? ?U???U???U???U???U???U???????"/>
      <sheetName val="Sheet5_x0000__x0008__x0006__x0008__x0003_? ?U?_x0000_?U?_x0000_?U?_x0000_?U?_x0000_?U"/>
      <sheetName val="Sheet5?_x0008__x0006__x0008__x0003_? ?U???U???U???U???U"/>
      <sheetName val="Sheet5__x0008__x0006__x0008__x0003_ဠ_蜰Ư༢_螸Ư༢_蠼Ư༢_裀Ư༢_襄Ư"/>
      <sheetName val="Sheet5__x0008__x0006__x0008__x0003_ဠ_蜰Ư༢_螸Ư༢_蠼Ư༢_⋀_x000f_쀀꾈∁_x000f_"/>
      <sheetName val="___U___U___U___U___U___U_______"/>
      <sheetName val="Sheet5__x0008__x0006__x0008__x0003____U___U___U___U___U"/>
      <sheetName val="Sheet5__x0008__x0006__x0008__x0003____U___U___U____x000f_____x000f_"/>
      <sheetName val="___U___U___U___U___U___U__"/>
      <sheetName val="Sheet5__x0008__x0006__x0008__x0003_ဠ 蜰Ư༢_螸Ư༢_蠼Ư༢_裀Ư༢_襄Ư"/>
      <sheetName val="_ _U_"/>
      <sheetName val="_ _U___U___U___U___U___U_______"/>
      <sheetName val="gia xe _ay"/>
      <sheetName val="Sheet5__x0008__x0006__x0008__x0003__ _U___U___U___U___U"/>
      <sheetName val="BC11cau-QL15A-3"/>
      <sheetName val="PTVT (MAU)"/>
      <sheetName val="KLLK THUC @IEN"/>
      <sheetName val="? ?U???U???U???U???U???U??"/>
      <sheetName val="_ _U___U___U___U___U___U__"/>
      <sheetName val=" lam_x0000__x000e_2_Goi 1 (TT04)_x0000_ 2_goi 1 d"/>
      <sheetName val="dtct cong"/>
      <sheetName val="uniBase"/>
      <sheetName val="vniBase"/>
      <sheetName val="abcBase"/>
      <sheetName val="?_x0000_?U?_x0000_?U?_x0000_?U?_x0000_?U?_x0000_?U?_x0000_?U?_x0000_"/>
      <sheetName val="gia xe ay"/>
      <sheetName val="? ?U?_x0000_?U?_x0000_?U?_x0000_?U?_x0000_?U?_x0000_?U?_x0000_"/>
    </sheetNames>
    <sheetDataSet>
      <sheetData sheetId="0" refreshError="1"/>
      <sheetData sheetId="1" refreshError="1"/>
      <sheetData sheetId="2" refreshError="1"/>
      <sheetData sheetId="3" refreshError="1">
        <row r="10">
          <cell r="C10" t="str">
            <v>CÇu ®ång bôt km397+485.75</v>
          </cell>
          <cell r="J10">
            <v>1656805757.0816243</v>
          </cell>
        </row>
        <row r="11">
          <cell r="C11" t="str">
            <v>1. DÇm BTCT D¦L L=24m</v>
          </cell>
          <cell r="D11" t="str">
            <v>m3</v>
          </cell>
          <cell r="E11">
            <v>52.75</v>
          </cell>
          <cell r="F11">
            <v>278810.8254982286</v>
          </cell>
          <cell r="G11">
            <v>35358.619999999995</v>
          </cell>
          <cell r="H11">
            <v>0</v>
          </cell>
          <cell r="I11">
            <v>488783.70715874148</v>
          </cell>
          <cell r="J11">
            <v>528800000</v>
          </cell>
        </row>
        <row r="12">
          <cell r="C12" t="str">
            <v>DÇm BTCT D¦L L=24m</v>
          </cell>
          <cell r="D12" t="str">
            <v>DÇm</v>
          </cell>
          <cell r="E12">
            <v>4</v>
          </cell>
          <cell r="F12" t="e">
            <v>#N/A</v>
          </cell>
          <cell r="G12" t="e">
            <v>#N/A</v>
          </cell>
          <cell r="H12" t="e">
            <v>#N/A</v>
          </cell>
          <cell r="I12">
            <v>100000000</v>
          </cell>
          <cell r="J12">
            <v>400000000</v>
          </cell>
        </row>
        <row r="13">
          <cell r="C13" t="str">
            <v>Lao l¾p dÇm BTCT D¦L L=24m</v>
          </cell>
          <cell r="D13" t="str">
            <v>DÇm</v>
          </cell>
          <cell r="E13">
            <v>4</v>
          </cell>
          <cell r="F13" t="e">
            <v>#N/A</v>
          </cell>
          <cell r="G13" t="e">
            <v>#N/A</v>
          </cell>
          <cell r="H13" t="e">
            <v>#N/A</v>
          </cell>
          <cell r="I13">
            <v>28000000</v>
          </cell>
          <cell r="J13">
            <v>112000000</v>
          </cell>
        </row>
        <row r="14">
          <cell r="C14" t="str">
            <v>Mua vµ l¾p ®Æt gèi cÇu b»ng cao su</v>
          </cell>
          <cell r="D14" t="str">
            <v>Gèi</v>
          </cell>
          <cell r="E14">
            <v>8</v>
          </cell>
          <cell r="F14">
            <v>1581785.4</v>
          </cell>
          <cell r="G14">
            <v>30683.100000000002</v>
          </cell>
          <cell r="H14">
            <v>0</v>
          </cell>
          <cell r="I14">
            <v>2100000</v>
          </cell>
          <cell r="J14">
            <v>16800000</v>
          </cell>
        </row>
        <row r="15">
          <cell r="C15" t="str">
            <v>2. Líp phñ mÆt cÇu</v>
          </cell>
          <cell r="J15">
            <v>43209530.30685392</v>
          </cell>
        </row>
        <row r="16">
          <cell r="C16" t="str">
            <v>Bª t«ng t¹o dèc M300</v>
          </cell>
          <cell r="D16" t="str">
            <v>m3</v>
          </cell>
          <cell r="E16">
            <v>19.2</v>
          </cell>
          <cell r="F16">
            <v>574369.22931885719</v>
          </cell>
          <cell r="G16">
            <v>40910.799999999996</v>
          </cell>
          <cell r="H16">
            <v>12642.59325</v>
          </cell>
          <cell r="I16">
            <v>983321.19550532626</v>
          </cell>
          <cell r="J16">
            <v>18879766.953702264</v>
          </cell>
        </row>
        <row r="17">
          <cell r="C17" t="str">
            <v>BTN h¹t mÞn dµy 5cm</v>
          </cell>
          <cell r="D17" t="str">
            <v>m2</v>
          </cell>
          <cell r="E17">
            <v>192</v>
          </cell>
          <cell r="F17">
            <v>42468.434871299731</v>
          </cell>
          <cell r="G17">
            <v>329.74254000000002</v>
          </cell>
          <cell r="H17">
            <v>2021.9958464000001</v>
          </cell>
          <cell r="I17">
            <v>57176.14270663201</v>
          </cell>
          <cell r="J17">
            <v>10977819.399673346</v>
          </cell>
        </row>
        <row r="18">
          <cell r="C18" t="str">
            <v>Cèt thÐp c¸c lo¹i</v>
          </cell>
          <cell r="D18" t="str">
            <v>TÊn</v>
          </cell>
          <cell r="E18">
            <v>1.92</v>
          </cell>
          <cell r="F18">
            <v>4911215.3371428577</v>
          </cell>
          <cell r="G18">
            <v>159406.01</v>
          </cell>
          <cell r="H18">
            <v>99583.053999999989</v>
          </cell>
          <cell r="I18">
            <v>6954137.4757699519</v>
          </cell>
          <cell r="J18">
            <v>13351943.953478307</v>
          </cell>
        </row>
        <row r="19">
          <cell r="C19" t="str">
            <v>3. Lan can tay vÞn b»ng BTCT</v>
          </cell>
          <cell r="D19" t="str">
            <v>md</v>
          </cell>
          <cell r="E19">
            <v>68.8</v>
          </cell>
          <cell r="I19">
            <v>450000</v>
          </cell>
          <cell r="J19">
            <v>30960000</v>
          </cell>
        </row>
        <row r="20">
          <cell r="C20" t="str">
            <v>4. B¶n dÉn KT(300x220x20)cm</v>
          </cell>
          <cell r="D20" t="str">
            <v>b¶n</v>
          </cell>
          <cell r="E20">
            <v>8</v>
          </cell>
          <cell r="I20">
            <v>2200000</v>
          </cell>
          <cell r="J20">
            <v>17600000</v>
          </cell>
        </row>
        <row r="21">
          <cell r="C21" t="str">
            <v>5. Khe co d·n cao su</v>
          </cell>
          <cell r="D21" t="str">
            <v>md</v>
          </cell>
          <cell r="E21">
            <v>16</v>
          </cell>
          <cell r="I21">
            <v>2500000</v>
          </cell>
          <cell r="J21">
            <v>40000000</v>
          </cell>
        </row>
        <row r="22">
          <cell r="C22" t="str">
            <v>6. T­êng hé lan mÒm</v>
          </cell>
          <cell r="D22" t="str">
            <v>md</v>
          </cell>
          <cell r="E22">
            <v>40</v>
          </cell>
          <cell r="I22">
            <v>450000</v>
          </cell>
          <cell r="J22">
            <v>18000000</v>
          </cell>
        </row>
        <row r="23">
          <cell r="C23" t="str">
            <v>7. Mè cÇu</v>
          </cell>
          <cell r="J23">
            <v>910628027.20978248</v>
          </cell>
        </row>
        <row r="24">
          <cell r="C24" t="str">
            <v>Bª t«ng M300</v>
          </cell>
          <cell r="D24" t="str">
            <v>m3</v>
          </cell>
          <cell r="E24">
            <v>1.23</v>
          </cell>
          <cell r="F24">
            <v>563323.6672165714</v>
          </cell>
          <cell r="G24">
            <v>83931.68</v>
          </cell>
          <cell r="H24">
            <v>50524.219980000002</v>
          </cell>
          <cell r="I24">
            <v>1211661.7359944407</v>
          </cell>
          <cell r="J24">
            <v>1490343.9352731621</v>
          </cell>
        </row>
        <row r="25">
          <cell r="C25" t="str">
            <v>Bª t«ng M250</v>
          </cell>
          <cell r="D25" t="str">
            <v>m3</v>
          </cell>
          <cell r="E25">
            <v>410.45</v>
          </cell>
          <cell r="F25">
            <v>467896.36724971433</v>
          </cell>
          <cell r="G25">
            <v>44651.040000000001</v>
          </cell>
          <cell r="H25">
            <v>50524.219980000002</v>
          </cell>
          <cell r="I25">
            <v>913830.47055423819</v>
          </cell>
          <cell r="J25">
            <v>375081716.63898706</v>
          </cell>
        </row>
        <row r="26">
          <cell r="C26" t="str">
            <v>Bª t«ng lãt mãng M100 ®¸ 4x6</v>
          </cell>
          <cell r="D26" t="str">
            <v>m3</v>
          </cell>
          <cell r="E26">
            <v>9</v>
          </cell>
          <cell r="F26">
            <v>261846.0050055357</v>
          </cell>
          <cell r="G26">
            <v>22898.699999999997</v>
          </cell>
          <cell r="H26">
            <v>12040.565000000001</v>
          </cell>
          <cell r="I26">
            <v>476409.41943829454</v>
          </cell>
          <cell r="J26">
            <v>4287684.7749446509</v>
          </cell>
        </row>
        <row r="27">
          <cell r="C27" t="str">
            <v>Cèt thÐp c¸c lo¹i</v>
          </cell>
          <cell r="D27" t="str">
            <v>TÊn</v>
          </cell>
          <cell r="E27">
            <v>28.82</v>
          </cell>
          <cell r="F27">
            <v>4932735.3371428577</v>
          </cell>
          <cell r="G27">
            <v>179831.68000000002</v>
          </cell>
          <cell r="H27">
            <v>210581.53</v>
          </cell>
          <cell r="I27">
            <v>7224454.8297665929</v>
          </cell>
          <cell r="J27">
            <v>208208788.1938732</v>
          </cell>
        </row>
        <row r="28">
          <cell r="C28" t="str">
            <v>§¸ héc x©y tø nãn M100</v>
          </cell>
          <cell r="D28" t="str">
            <v>m3</v>
          </cell>
          <cell r="E28">
            <v>46.5</v>
          </cell>
          <cell r="F28">
            <v>278810.8254982286</v>
          </cell>
          <cell r="G28">
            <v>35358.619999999995</v>
          </cell>
          <cell r="H28">
            <v>0</v>
          </cell>
          <cell r="I28">
            <v>488783.70716064883</v>
          </cell>
          <cell r="J28">
            <v>22728442.382970169</v>
          </cell>
        </row>
        <row r="29">
          <cell r="C29" t="str">
            <v>§¸ héc x©y taluy v÷a M100</v>
          </cell>
          <cell r="D29" t="str">
            <v>m3</v>
          </cell>
          <cell r="E29">
            <v>96</v>
          </cell>
          <cell r="F29">
            <v>248531.96105274287</v>
          </cell>
          <cell r="G29">
            <v>31998.09</v>
          </cell>
          <cell r="H29">
            <v>0</v>
          </cell>
          <cell r="I29">
            <v>437566.59880956577</v>
          </cell>
          <cell r="J29">
            <v>42006393.48571831</v>
          </cell>
        </row>
        <row r="30">
          <cell r="C30" t="str">
            <v>§¸ héc x©y mãng, ch©n khay M100</v>
          </cell>
          <cell r="D30" t="str">
            <v>m3</v>
          </cell>
          <cell r="E30">
            <v>98.74</v>
          </cell>
          <cell r="F30">
            <v>248531.96105274287</v>
          </cell>
          <cell r="G30">
            <v>27907.01</v>
          </cell>
          <cell r="H30">
            <v>0</v>
          </cell>
          <cell r="I30">
            <v>421653.28258626495</v>
          </cell>
          <cell r="J30">
            <v>41634045.122567795</v>
          </cell>
        </row>
        <row r="31">
          <cell r="C31" t="str">
            <v xml:space="preserve">D¨m s¹n ®Öm </v>
          </cell>
          <cell r="D31" t="str">
            <v>m3</v>
          </cell>
          <cell r="E31">
            <v>63.58</v>
          </cell>
          <cell r="F31">
            <v>135855.41509523807</v>
          </cell>
          <cell r="G31">
            <v>30115.26</v>
          </cell>
          <cell r="H31">
            <v>0</v>
          </cell>
          <cell r="I31">
            <v>288292.40124649595</v>
          </cell>
          <cell r="J31">
            <v>18329630.871252213</v>
          </cell>
        </row>
        <row r="32">
          <cell r="C32" t="str">
            <v xml:space="preserve">§µo mãng ®Êt cÊp 3 </v>
          </cell>
          <cell r="D32" t="str">
            <v>m3</v>
          </cell>
          <cell r="E32">
            <v>1142.2</v>
          </cell>
          <cell r="F32">
            <v>0</v>
          </cell>
          <cell r="G32">
            <v>5890.0582800000002</v>
          </cell>
          <cell r="H32">
            <v>2404.6233119999997</v>
          </cell>
          <cell r="I32">
            <v>26458.435658106639</v>
          </cell>
          <cell r="J32">
            <v>30220825.208689403</v>
          </cell>
        </row>
        <row r="33">
          <cell r="C33" t="str">
            <v>§¾p ®Êt cÊp 3</v>
          </cell>
          <cell r="D33" t="str">
            <v>m3</v>
          </cell>
          <cell r="E33">
            <v>2229.6</v>
          </cell>
          <cell r="F33">
            <v>0</v>
          </cell>
          <cell r="G33">
            <v>9298.26</v>
          </cell>
          <cell r="H33">
            <v>0</v>
          </cell>
          <cell r="I33">
            <v>36167.992732107356</v>
          </cell>
          <cell r="J33">
            <v>80640156.595506564</v>
          </cell>
        </row>
        <row r="34">
          <cell r="C34" t="str">
            <v>Thi c«ng mè</v>
          </cell>
          <cell r="D34" t="str">
            <v>TB</v>
          </cell>
          <cell r="J34">
            <v>86000000</v>
          </cell>
        </row>
        <row r="35">
          <cell r="C35" t="str">
            <v xml:space="preserve">8. Cäc BTCT (35x35)cm </v>
          </cell>
          <cell r="D35" t="str">
            <v>md</v>
          </cell>
          <cell r="I35">
            <v>400000</v>
          </cell>
          <cell r="J35">
            <v>0</v>
          </cell>
        </row>
        <row r="36">
          <cell r="C36" t="str">
            <v>9. Ph¸ dì cÇu cò</v>
          </cell>
          <cell r="J36">
            <v>21608199.564987957</v>
          </cell>
        </row>
        <row r="37">
          <cell r="C37" t="str">
            <v>§Ëp bá bª t«ng cÇu cò</v>
          </cell>
          <cell r="D37" t="str">
            <v>m3</v>
          </cell>
          <cell r="E37">
            <v>17.55</v>
          </cell>
          <cell r="F37">
            <v>0</v>
          </cell>
          <cell r="G37">
            <v>68671.7</v>
          </cell>
          <cell r="H37">
            <v>0</v>
          </cell>
          <cell r="I37">
            <v>267116.37946255063</v>
          </cell>
          <cell r="J37">
            <v>4687892.4595677638</v>
          </cell>
        </row>
        <row r="38">
          <cell r="C38" t="str">
            <v>§Ëp bá ®¸ héc x©y cò</v>
          </cell>
          <cell r="D38" t="str">
            <v>m3</v>
          </cell>
          <cell r="E38">
            <v>90.96</v>
          </cell>
          <cell r="F38">
            <v>0</v>
          </cell>
          <cell r="G38">
            <v>22208.720000000001</v>
          </cell>
          <cell r="H38">
            <v>0</v>
          </cell>
          <cell r="I38">
            <v>86386.573783633401</v>
          </cell>
          <cell r="J38">
            <v>7857722.7513592932</v>
          </cell>
        </row>
        <row r="39">
          <cell r="C39" t="str">
            <v>Th¸o dì thÐp cÇu cò</v>
          </cell>
          <cell r="D39" t="str">
            <v>TÊn</v>
          </cell>
          <cell r="E39">
            <v>4.71</v>
          </cell>
          <cell r="F39">
            <v>215999.99999999997</v>
          </cell>
          <cell r="G39">
            <v>218652</v>
          </cell>
          <cell r="H39">
            <v>543277.45000000007</v>
          </cell>
          <cell r="I39">
            <v>1924115.5741105948</v>
          </cell>
          <cell r="J39">
            <v>9062584.3540609013</v>
          </cell>
        </row>
        <row r="40">
          <cell r="C40" t="str">
            <v>10. H¹ng môc kh¸c</v>
          </cell>
          <cell r="D40" t="str">
            <v>TB</v>
          </cell>
          <cell r="J40">
            <v>46000000</v>
          </cell>
        </row>
        <row r="41">
          <cell r="C41" t="str">
            <v>§¾p ®Êt ®ª quai</v>
          </cell>
          <cell r="D41" t="str">
            <v>m3</v>
          </cell>
          <cell r="E41">
            <v>80</v>
          </cell>
          <cell r="F41">
            <v>0</v>
          </cell>
          <cell r="G41">
            <v>29528.04</v>
          </cell>
          <cell r="H41">
            <v>0</v>
          </cell>
          <cell r="I41">
            <v>137828.35964320746</v>
          </cell>
          <cell r="J41">
            <v>11026268.771456596</v>
          </cell>
        </row>
        <row r="42">
          <cell r="C42" t="str">
            <v>M¸y b¬m n­íc</v>
          </cell>
          <cell r="D42" t="str">
            <v>Ca</v>
          </cell>
          <cell r="E42">
            <v>50</v>
          </cell>
          <cell r="F42">
            <v>0</v>
          </cell>
          <cell r="G42">
            <v>0</v>
          </cell>
          <cell r="H42">
            <v>466499</v>
          </cell>
          <cell r="I42">
            <v>625657.55711489427</v>
          </cell>
          <cell r="J42">
            <v>31282877.855744712</v>
          </cell>
        </row>
        <row r="43">
          <cell r="C43" t="str">
            <v>Mua vµ l¾p ®Æt biÓn b¸o ®­êng bé</v>
          </cell>
          <cell r="D43" t="str">
            <v>Bé</v>
          </cell>
          <cell r="E43">
            <v>4</v>
          </cell>
          <cell r="F43">
            <v>594310.03418620001</v>
          </cell>
          <cell r="G43">
            <v>9170.9856</v>
          </cell>
          <cell r="H43">
            <v>2246.2963200000004</v>
          </cell>
          <cell r="I43">
            <v>860000</v>
          </cell>
          <cell r="J43">
            <v>3440000</v>
          </cell>
        </row>
        <row r="44">
          <cell r="C44" t="str">
            <v>10. TuyÕn tr¸nh</v>
          </cell>
          <cell r="J44">
            <v>0</v>
          </cell>
        </row>
        <row r="45">
          <cell r="C45" t="str">
            <v>DÇm I500 lµm cÇu t¹m</v>
          </cell>
          <cell r="D45" t="str">
            <v>TÊn</v>
          </cell>
          <cell r="F45">
            <v>999886.30761904758</v>
          </cell>
          <cell r="G45">
            <v>346912.49600000004</v>
          </cell>
          <cell r="H45">
            <v>446151.53</v>
          </cell>
          <cell r="I45">
            <v>3623924.8854130441</v>
          </cell>
          <cell r="J45">
            <v>0</v>
          </cell>
        </row>
        <row r="46">
          <cell r="C46" t="str">
            <v>L¾p dùng vµ th¸o dì cÇu t¹m</v>
          </cell>
          <cell r="D46" t="str">
            <v>TÊn</v>
          </cell>
          <cell r="E46">
            <v>0</v>
          </cell>
          <cell r="F46">
            <v>278999.99999999994</v>
          </cell>
          <cell r="G46">
            <v>218652</v>
          </cell>
          <cell r="H46">
            <v>543277.45000000007</v>
          </cell>
          <cell r="I46">
            <v>2200391.9957527202</v>
          </cell>
          <cell r="J46">
            <v>0</v>
          </cell>
        </row>
        <row r="47">
          <cell r="C47" t="str">
            <v>L¾p ®Æt vµ th¸o dì rä ®¸</v>
          </cell>
          <cell r="D47" t="str">
            <v>Rä</v>
          </cell>
          <cell r="F47">
            <v>167311.23357142857</v>
          </cell>
          <cell r="G47">
            <v>63119.520000000004</v>
          </cell>
          <cell r="H47">
            <v>0</v>
          </cell>
          <cell r="I47">
            <v>498735.7040999615</v>
          </cell>
          <cell r="J47">
            <v>0</v>
          </cell>
        </row>
        <row r="48">
          <cell r="C48" t="str">
            <v xml:space="preserve">§¾p ®Êt nÒn ®­êng </v>
          </cell>
          <cell r="D48" t="str">
            <v>m3</v>
          </cell>
          <cell r="F48">
            <v>5714.2857142857138</v>
          </cell>
          <cell r="G48">
            <v>6287.7246742857133</v>
          </cell>
          <cell r="H48">
            <v>16215.547368</v>
          </cell>
          <cell r="I48">
            <v>60797.097711059716</v>
          </cell>
          <cell r="J48">
            <v>0</v>
          </cell>
        </row>
        <row r="49">
          <cell r="C49" t="str">
            <v>Mãng cÊp phèi ®¸ d¨m lo¹i 1</v>
          </cell>
          <cell r="D49" t="str">
            <v>m3</v>
          </cell>
          <cell r="F49">
            <v>211603.89028571427</v>
          </cell>
          <cell r="G49">
            <v>675.13600000000008</v>
          </cell>
          <cell r="H49">
            <v>7602.8820839999989</v>
          </cell>
          <cell r="I49">
            <v>256047.42392078004</v>
          </cell>
          <cell r="J49">
            <v>0</v>
          </cell>
        </row>
        <row r="50">
          <cell r="C50" t="str">
            <v>cÇu chÌ rÐn km399+647.55</v>
          </cell>
          <cell r="J50">
            <v>1429621416.0456164</v>
          </cell>
        </row>
        <row r="51">
          <cell r="C51" t="str">
            <v>1. DÇm BTCT th­êng L=12m</v>
          </cell>
          <cell r="J51">
            <v>271000000</v>
          </cell>
        </row>
        <row r="52">
          <cell r="C52" t="str">
            <v>DÇm BTCT th­êng L=12m</v>
          </cell>
          <cell r="D52" t="str">
            <v>DÇm</v>
          </cell>
          <cell r="E52">
            <v>5</v>
          </cell>
          <cell r="F52" t="e">
            <v>#N/A</v>
          </cell>
          <cell r="G52" t="e">
            <v>#N/A</v>
          </cell>
          <cell r="H52" t="e">
            <v>#N/A</v>
          </cell>
          <cell r="I52">
            <v>35000000</v>
          </cell>
          <cell r="J52">
            <v>175000000</v>
          </cell>
        </row>
        <row r="53">
          <cell r="C53" t="str">
            <v>Lao l¾p dÇm BTCT L=12m</v>
          </cell>
          <cell r="D53" t="str">
            <v>DÇm</v>
          </cell>
          <cell r="E53">
            <v>5</v>
          </cell>
          <cell r="F53" t="e">
            <v>#N/A</v>
          </cell>
          <cell r="G53" t="e">
            <v>#N/A</v>
          </cell>
          <cell r="H53" t="e">
            <v>#N/A</v>
          </cell>
          <cell r="I53">
            <v>15000000</v>
          </cell>
          <cell r="J53">
            <v>75000000</v>
          </cell>
        </row>
        <row r="54">
          <cell r="C54" t="str">
            <v>Mua vµ l¾p ®Æt gèi cÇu b»ng cao su</v>
          </cell>
          <cell r="D54" t="str">
            <v>Gèi</v>
          </cell>
          <cell r="E54">
            <v>10</v>
          </cell>
          <cell r="F54">
            <v>1581785.4</v>
          </cell>
          <cell r="G54">
            <v>30683.100000000002</v>
          </cell>
          <cell r="H54">
            <v>0</v>
          </cell>
          <cell r="I54">
            <v>2100000</v>
          </cell>
          <cell r="J54">
            <v>21000000</v>
          </cell>
        </row>
        <row r="55">
          <cell r="C55" t="str">
            <v>2. Líp phñ mÆt cÇu</v>
          </cell>
          <cell r="I55">
            <v>0</v>
          </cell>
          <cell r="J55">
            <v>21604765.15342696</v>
          </cell>
        </row>
        <row r="56">
          <cell r="C56" t="str">
            <v>Bª t«ng t¹o dèc M300</v>
          </cell>
          <cell r="D56" t="str">
            <v>m3</v>
          </cell>
          <cell r="E56">
            <v>9.6</v>
          </cell>
          <cell r="F56">
            <v>574369.22931885719</v>
          </cell>
          <cell r="G56">
            <v>40910.799999999996</v>
          </cell>
          <cell r="H56">
            <v>12642.59325</v>
          </cell>
          <cell r="I56">
            <v>983321.19550532626</v>
          </cell>
          <cell r="J56">
            <v>9439883.4768511318</v>
          </cell>
        </row>
        <row r="57">
          <cell r="C57" t="str">
            <v>BTN h¹t mÞn dµy 5cm</v>
          </cell>
          <cell r="D57" t="str">
            <v>m2</v>
          </cell>
          <cell r="E57">
            <v>96</v>
          </cell>
          <cell r="F57">
            <v>42468.434871299731</v>
          </cell>
          <cell r="G57">
            <v>329.74254000000002</v>
          </cell>
          <cell r="H57">
            <v>2021.9958464000001</v>
          </cell>
          <cell r="I57">
            <v>57176.14270663201</v>
          </cell>
          <cell r="J57">
            <v>5488909.6998366732</v>
          </cell>
        </row>
        <row r="58">
          <cell r="C58" t="str">
            <v>Cèt thÐp c¸c lo¹i</v>
          </cell>
          <cell r="D58" t="str">
            <v>TÊn</v>
          </cell>
          <cell r="E58">
            <v>0.96</v>
          </cell>
          <cell r="F58">
            <v>4911215.3371428577</v>
          </cell>
          <cell r="G58">
            <v>159406.01</v>
          </cell>
          <cell r="H58">
            <v>99583.053999999989</v>
          </cell>
          <cell r="I58">
            <v>6954137.4757699519</v>
          </cell>
          <cell r="J58">
            <v>6675971.9767391533</v>
          </cell>
        </row>
        <row r="59">
          <cell r="C59" t="str">
            <v>3. Lan can tay vÞn b»ng BTCT</v>
          </cell>
          <cell r="D59" t="str">
            <v>md</v>
          </cell>
          <cell r="E59">
            <v>43.76</v>
          </cell>
          <cell r="I59">
            <v>450000</v>
          </cell>
          <cell r="J59">
            <v>19692000</v>
          </cell>
        </row>
        <row r="60">
          <cell r="C60" t="str">
            <v>4. B¶n dÉn KT(300x220x20)cm</v>
          </cell>
          <cell r="D60" t="str">
            <v>b¶n</v>
          </cell>
          <cell r="E60">
            <v>8</v>
          </cell>
          <cell r="I60">
            <v>2200000</v>
          </cell>
          <cell r="J60">
            <v>17600000</v>
          </cell>
        </row>
        <row r="61">
          <cell r="C61" t="str">
            <v>5. Khe co d·n cao su</v>
          </cell>
          <cell r="D61" t="str">
            <v>md</v>
          </cell>
          <cell r="E61">
            <v>16</v>
          </cell>
          <cell r="I61">
            <v>2500000</v>
          </cell>
          <cell r="J61">
            <v>40000000</v>
          </cell>
        </row>
        <row r="62">
          <cell r="C62" t="str">
            <v>6. T­êng hé lan mÒm</v>
          </cell>
          <cell r="D62" t="str">
            <v>md</v>
          </cell>
          <cell r="E62">
            <v>40</v>
          </cell>
          <cell r="I62">
            <v>450000</v>
          </cell>
          <cell r="J62">
            <v>18000000</v>
          </cell>
        </row>
        <row r="63">
          <cell r="C63" t="str">
            <v>7. Mè cÇu</v>
          </cell>
          <cell r="I63">
            <v>0</v>
          </cell>
          <cell r="J63">
            <v>951974066.90245414</v>
          </cell>
        </row>
        <row r="64">
          <cell r="C64" t="str">
            <v>Bª t«ng M300</v>
          </cell>
          <cell r="D64" t="str">
            <v>m3</v>
          </cell>
          <cell r="E64">
            <v>301.68</v>
          </cell>
          <cell r="F64">
            <v>563323.6672165714</v>
          </cell>
          <cell r="G64">
            <v>83931.68</v>
          </cell>
          <cell r="H64">
            <v>50524.219980000002</v>
          </cell>
          <cell r="I64">
            <v>1211661.7359944407</v>
          </cell>
          <cell r="J64">
            <v>365534112.51480287</v>
          </cell>
        </row>
        <row r="65">
          <cell r="C65" t="str">
            <v>Bª t«ng M250</v>
          </cell>
          <cell r="D65" t="str">
            <v>m3</v>
          </cell>
          <cell r="E65">
            <v>61.725000000000001</v>
          </cell>
          <cell r="F65">
            <v>467896.36724971433</v>
          </cell>
          <cell r="G65">
            <v>44651.040000000001</v>
          </cell>
          <cell r="H65">
            <v>50524.219980000002</v>
          </cell>
          <cell r="I65">
            <v>913830.47055423819</v>
          </cell>
          <cell r="J65">
            <v>56406185.79496035</v>
          </cell>
        </row>
        <row r="66">
          <cell r="C66" t="str">
            <v>Bª t«ng lãt mãng M100 ®¸ 4x6</v>
          </cell>
          <cell r="D66" t="str">
            <v>m3</v>
          </cell>
          <cell r="E66">
            <v>9</v>
          </cell>
          <cell r="F66">
            <v>261846.0050055357</v>
          </cell>
          <cell r="G66">
            <v>22898.699999999997</v>
          </cell>
          <cell r="H66">
            <v>12040.565000000001</v>
          </cell>
          <cell r="I66">
            <v>476409.41943829454</v>
          </cell>
          <cell r="J66">
            <v>4287684.7749446509</v>
          </cell>
        </row>
        <row r="67">
          <cell r="C67" t="str">
            <v>Cèt thÐp c¸c lo¹i</v>
          </cell>
          <cell r="D67" t="str">
            <v>TÊn</v>
          </cell>
          <cell r="E67">
            <v>25.437999999999999</v>
          </cell>
          <cell r="F67">
            <v>4932735.3371428577</v>
          </cell>
          <cell r="G67">
            <v>179831.68000000002</v>
          </cell>
          <cell r="H67">
            <v>210581.53</v>
          </cell>
          <cell r="I67">
            <v>7224454.8297665929</v>
          </cell>
          <cell r="J67">
            <v>183775681.95960259</v>
          </cell>
        </row>
        <row r="68">
          <cell r="C68" t="str">
            <v>§¸ héc x©y tø nãn M100</v>
          </cell>
          <cell r="D68" t="str">
            <v>m3</v>
          </cell>
          <cell r="E68">
            <v>16.96</v>
          </cell>
          <cell r="F68">
            <v>278810.8254982286</v>
          </cell>
          <cell r="G68">
            <v>35358.619999999995</v>
          </cell>
          <cell r="H68">
            <v>0</v>
          </cell>
          <cell r="I68">
            <v>488783.70716064883</v>
          </cell>
          <cell r="J68">
            <v>8289771.6734446045</v>
          </cell>
        </row>
        <row r="69">
          <cell r="C69" t="str">
            <v>§¸ héc x©y taluy v÷a M100</v>
          </cell>
          <cell r="D69" t="str">
            <v>m3</v>
          </cell>
          <cell r="E69">
            <v>45</v>
          </cell>
          <cell r="F69">
            <v>248531.96105274287</v>
          </cell>
          <cell r="G69">
            <v>31998.09</v>
          </cell>
          <cell r="H69">
            <v>0</v>
          </cell>
          <cell r="I69">
            <v>437566.59880956577</v>
          </cell>
          <cell r="J69">
            <v>19690496.94643046</v>
          </cell>
        </row>
        <row r="70">
          <cell r="C70" t="str">
            <v>§¸ héc x©y mãng, ch©n khay M100</v>
          </cell>
          <cell r="D70" t="str">
            <v>m3</v>
          </cell>
          <cell r="E70">
            <v>48.84</v>
          </cell>
          <cell r="F70">
            <v>248531.96105274287</v>
          </cell>
          <cell r="G70">
            <v>27907.01</v>
          </cell>
          <cell r="H70">
            <v>0</v>
          </cell>
          <cell r="I70">
            <v>421653.28258626495</v>
          </cell>
          <cell r="J70">
            <v>20593546.32151318</v>
          </cell>
        </row>
        <row r="71">
          <cell r="C71" t="str">
            <v xml:space="preserve">D¨m s¹n ®Öm </v>
          </cell>
          <cell r="D71" t="str">
            <v>m3</v>
          </cell>
          <cell r="E71">
            <v>38.79</v>
          </cell>
          <cell r="F71">
            <v>135855.41509523807</v>
          </cell>
          <cell r="G71">
            <v>30115.26</v>
          </cell>
          <cell r="H71">
            <v>0</v>
          </cell>
          <cell r="I71">
            <v>288292.40124649595</v>
          </cell>
          <cell r="J71">
            <v>11182862.244351577</v>
          </cell>
        </row>
        <row r="72">
          <cell r="C72" t="str">
            <v xml:space="preserve">§µo mãng ®Êt cÊp 3 </v>
          </cell>
          <cell r="D72" t="str">
            <v>m3</v>
          </cell>
          <cell r="E72">
            <v>3153.9</v>
          </cell>
          <cell r="F72">
            <v>0</v>
          </cell>
          <cell r="G72">
            <v>5890.0582800000002</v>
          </cell>
          <cell r="H72">
            <v>2404.6233119999997</v>
          </cell>
          <cell r="I72">
            <v>26458.435658106639</v>
          </cell>
          <cell r="J72">
            <v>83447260.222102523</v>
          </cell>
        </row>
        <row r="73">
          <cell r="C73" t="str">
            <v>§¾p ®Êt cÊp 3</v>
          </cell>
          <cell r="D73" t="str">
            <v>m3</v>
          </cell>
          <cell r="E73">
            <v>3394.34</v>
          </cell>
          <cell r="F73">
            <v>0</v>
          </cell>
          <cell r="G73">
            <v>9298.26</v>
          </cell>
          <cell r="H73">
            <v>0</v>
          </cell>
          <cell r="I73">
            <v>36167.992732107356</v>
          </cell>
          <cell r="J73">
            <v>122766464.45030129</v>
          </cell>
        </row>
        <row r="74">
          <cell r="C74" t="str">
            <v>Thi c«ng mè</v>
          </cell>
          <cell r="D74" t="str">
            <v>TB</v>
          </cell>
          <cell r="J74">
            <v>76000000</v>
          </cell>
        </row>
        <row r="75">
          <cell r="C75" t="str">
            <v>9. Ph¸ dì cÇu cò</v>
          </cell>
          <cell r="J75">
            <v>16750583.989735419</v>
          </cell>
        </row>
        <row r="76">
          <cell r="C76" t="str">
            <v>§Ëp bá bª t«ng cÇu cò</v>
          </cell>
          <cell r="D76" t="str">
            <v>m3</v>
          </cell>
          <cell r="E76">
            <v>31.08</v>
          </cell>
          <cell r="F76">
            <v>0</v>
          </cell>
          <cell r="G76">
            <v>68671.7</v>
          </cell>
          <cell r="H76">
            <v>0</v>
          </cell>
          <cell r="I76">
            <v>267116.37946255063</v>
          </cell>
          <cell r="J76">
            <v>8301977.0736960731</v>
          </cell>
        </row>
        <row r="77">
          <cell r="C77" t="str">
            <v>§Ëp bá ®¸ héc x©y cò</v>
          </cell>
          <cell r="D77" t="str">
            <v>m3</v>
          </cell>
          <cell r="E77">
            <v>97.8</v>
          </cell>
          <cell r="F77">
            <v>0</v>
          </cell>
          <cell r="G77">
            <v>22208.720000000001</v>
          </cell>
          <cell r="H77">
            <v>0</v>
          </cell>
          <cell r="I77">
            <v>86386.573783633401</v>
          </cell>
          <cell r="J77">
            <v>8448606.9160393458</v>
          </cell>
        </row>
        <row r="78">
          <cell r="C78" t="str">
            <v>Th¸o dì thÐp cÇu cò</v>
          </cell>
          <cell r="D78" t="str">
            <v>TÊn</v>
          </cell>
          <cell r="F78">
            <v>215999.99999999997</v>
          </cell>
          <cell r="G78">
            <v>218652</v>
          </cell>
          <cell r="H78">
            <v>543277.45000000007</v>
          </cell>
          <cell r="I78">
            <v>1924115.5741105948</v>
          </cell>
          <cell r="J78">
            <v>0</v>
          </cell>
        </row>
        <row r="79">
          <cell r="C79" t="str">
            <v>10. H¹ng môc kh¸c</v>
          </cell>
          <cell r="D79" t="str">
            <v>TB</v>
          </cell>
          <cell r="I79">
            <v>0</v>
          </cell>
          <cell r="J79">
            <v>73000000</v>
          </cell>
        </row>
        <row r="80">
          <cell r="C80" t="str">
            <v>§¾p ®Êt ®ª quai</v>
          </cell>
          <cell r="D80" t="str">
            <v>m3</v>
          </cell>
          <cell r="E80">
            <v>132</v>
          </cell>
          <cell r="F80">
            <v>0</v>
          </cell>
          <cell r="G80">
            <v>29528.04</v>
          </cell>
          <cell r="H80">
            <v>0</v>
          </cell>
          <cell r="I80">
            <v>137828.35964320746</v>
          </cell>
          <cell r="J80">
            <v>18193343.472903386</v>
          </cell>
        </row>
        <row r="81">
          <cell r="C81" t="str">
            <v>M¸y b¬m n­íc</v>
          </cell>
          <cell r="D81" t="str">
            <v>Ca</v>
          </cell>
          <cell r="E81">
            <v>62</v>
          </cell>
          <cell r="F81">
            <v>0</v>
          </cell>
          <cell r="G81">
            <v>0</v>
          </cell>
          <cell r="H81">
            <v>466499</v>
          </cell>
          <cell r="I81">
            <v>625657.55711489427</v>
          </cell>
          <cell r="J81">
            <v>38790768.541123442</v>
          </cell>
        </row>
        <row r="82">
          <cell r="C82" t="str">
            <v>Mua vµ l¾p ®Æt biÓn b¸o ®­êng bé</v>
          </cell>
          <cell r="D82" t="str">
            <v>Bé</v>
          </cell>
          <cell r="E82">
            <v>4</v>
          </cell>
          <cell r="F82">
            <v>594310.03418620001</v>
          </cell>
          <cell r="G82">
            <v>9170.9856</v>
          </cell>
          <cell r="H82">
            <v>2246.2963200000004</v>
          </cell>
          <cell r="I82">
            <v>860000</v>
          </cell>
          <cell r="J82">
            <v>3440000</v>
          </cell>
        </row>
        <row r="83">
          <cell r="C83" t="str">
            <v>cÇu khe chÑt km399+767.62</v>
          </cell>
          <cell r="J83">
            <v>1734440155.4768608</v>
          </cell>
        </row>
        <row r="84">
          <cell r="C84" t="str">
            <v>1. DÇm BTCT th­êng L=12m</v>
          </cell>
          <cell r="J84">
            <v>271000000</v>
          </cell>
        </row>
        <row r="85">
          <cell r="C85" t="str">
            <v>DÇm BTCT th­êng L=12m</v>
          </cell>
          <cell r="D85" t="str">
            <v>DÇm</v>
          </cell>
          <cell r="E85">
            <v>5</v>
          </cell>
          <cell r="F85" t="e">
            <v>#N/A</v>
          </cell>
          <cell r="G85" t="e">
            <v>#N/A</v>
          </cell>
          <cell r="H85" t="e">
            <v>#N/A</v>
          </cell>
          <cell r="I85">
            <v>35000000</v>
          </cell>
          <cell r="J85">
            <v>175000000</v>
          </cell>
        </row>
        <row r="86">
          <cell r="C86" t="str">
            <v>Lao l¾p dÇm BTCT L=12m</v>
          </cell>
          <cell r="D86" t="str">
            <v>DÇm</v>
          </cell>
          <cell r="E86">
            <v>5</v>
          </cell>
          <cell r="F86" t="e">
            <v>#N/A</v>
          </cell>
          <cell r="G86" t="e">
            <v>#N/A</v>
          </cell>
          <cell r="H86" t="e">
            <v>#N/A</v>
          </cell>
          <cell r="I86">
            <v>15000000</v>
          </cell>
          <cell r="J86">
            <v>75000000</v>
          </cell>
        </row>
        <row r="87">
          <cell r="C87" t="str">
            <v>Mua vµ l¾p ®Æt gèi cÇu b»ng cao su</v>
          </cell>
          <cell r="D87" t="str">
            <v>Gèi</v>
          </cell>
          <cell r="E87">
            <v>10</v>
          </cell>
          <cell r="F87">
            <v>1581785.4</v>
          </cell>
          <cell r="G87">
            <v>30683.100000000002</v>
          </cell>
          <cell r="H87">
            <v>0</v>
          </cell>
          <cell r="I87">
            <v>2100000</v>
          </cell>
          <cell r="J87">
            <v>21000000</v>
          </cell>
        </row>
        <row r="88">
          <cell r="C88" t="str">
            <v>2. Líp phñ mÆt cÇu</v>
          </cell>
          <cell r="I88">
            <v>0</v>
          </cell>
          <cell r="J88">
            <v>21604765.15342696</v>
          </cell>
        </row>
        <row r="89">
          <cell r="C89" t="str">
            <v>Bª t«ng t¹o dèc M300</v>
          </cell>
          <cell r="D89" t="str">
            <v>m3</v>
          </cell>
          <cell r="E89">
            <v>9.6</v>
          </cell>
          <cell r="F89">
            <v>574369.22931885719</v>
          </cell>
          <cell r="G89">
            <v>40910.799999999996</v>
          </cell>
          <cell r="H89">
            <v>12642.59325</v>
          </cell>
          <cell r="I89">
            <v>983321.19550532626</v>
          </cell>
          <cell r="J89">
            <v>9439883.4768511318</v>
          </cell>
        </row>
        <row r="90">
          <cell r="C90" t="str">
            <v>BTN h¹t mÞn dµy 5cm</v>
          </cell>
          <cell r="D90" t="str">
            <v>m2</v>
          </cell>
          <cell r="E90">
            <v>96</v>
          </cell>
          <cell r="F90">
            <v>42468.434871299731</v>
          </cell>
          <cell r="G90">
            <v>329.74254000000002</v>
          </cell>
          <cell r="H90">
            <v>2021.9958464000001</v>
          </cell>
          <cell r="I90">
            <v>57176.14270663201</v>
          </cell>
          <cell r="J90">
            <v>5488909.6998366732</v>
          </cell>
        </row>
        <row r="91">
          <cell r="C91" t="str">
            <v>Cèt thÐp c¸c lo¹i</v>
          </cell>
          <cell r="D91" t="str">
            <v>TÊn</v>
          </cell>
          <cell r="E91">
            <v>0.96</v>
          </cell>
          <cell r="F91">
            <v>4911215.3371428577</v>
          </cell>
          <cell r="G91">
            <v>159406.01</v>
          </cell>
          <cell r="H91">
            <v>99583.053999999989</v>
          </cell>
          <cell r="I91">
            <v>6954137.4757699519</v>
          </cell>
          <cell r="J91">
            <v>6675971.9767391533</v>
          </cell>
        </row>
        <row r="92">
          <cell r="C92" t="str">
            <v>3. Lan can tay vÞn b»ng BTCT</v>
          </cell>
          <cell r="D92" t="str">
            <v>md</v>
          </cell>
          <cell r="E92">
            <v>43.36</v>
          </cell>
          <cell r="I92">
            <v>450000</v>
          </cell>
          <cell r="J92">
            <v>19512000</v>
          </cell>
        </row>
        <row r="93">
          <cell r="C93" t="str">
            <v>4. B¶n dÉn KT(300x220x20)cm</v>
          </cell>
          <cell r="D93" t="str">
            <v>b¶n</v>
          </cell>
          <cell r="E93">
            <v>8</v>
          </cell>
          <cell r="I93">
            <v>2200000</v>
          </cell>
          <cell r="J93">
            <v>17600000</v>
          </cell>
        </row>
        <row r="94">
          <cell r="C94" t="str">
            <v>5. Khe co d·n cao su</v>
          </cell>
          <cell r="D94" t="str">
            <v>md</v>
          </cell>
          <cell r="E94">
            <v>16</v>
          </cell>
          <cell r="I94">
            <v>2500000</v>
          </cell>
          <cell r="J94">
            <v>40000000</v>
          </cell>
        </row>
        <row r="95">
          <cell r="C95" t="str">
            <v>6. T­êng hé lan mÒm</v>
          </cell>
          <cell r="D95" t="str">
            <v>md</v>
          </cell>
          <cell r="E95">
            <v>40</v>
          </cell>
          <cell r="I95">
            <v>450000</v>
          </cell>
          <cell r="J95">
            <v>18000000</v>
          </cell>
        </row>
        <row r="96">
          <cell r="C96" t="str">
            <v>7. Mè cÇu</v>
          </cell>
          <cell r="I96">
            <v>0</v>
          </cell>
          <cell r="J96">
            <v>1028767758.4093841</v>
          </cell>
        </row>
        <row r="97">
          <cell r="C97" t="str">
            <v>Bª t«ng M300</v>
          </cell>
          <cell r="D97" t="str">
            <v>m3</v>
          </cell>
          <cell r="E97">
            <v>299.88</v>
          </cell>
          <cell r="F97">
            <v>563323.6672165714</v>
          </cell>
          <cell r="G97">
            <v>83931.68</v>
          </cell>
          <cell r="H97">
            <v>50524.219980000002</v>
          </cell>
          <cell r="I97">
            <v>1211661.7359944407</v>
          </cell>
          <cell r="J97">
            <v>363353121.39001286</v>
          </cell>
        </row>
        <row r="98">
          <cell r="C98" t="str">
            <v>Bª t«ng M250</v>
          </cell>
          <cell r="D98" t="str">
            <v>m3</v>
          </cell>
          <cell r="E98">
            <v>60.77</v>
          </cell>
          <cell r="F98">
            <v>467896.36724971433</v>
          </cell>
          <cell r="G98">
            <v>44651.040000000001</v>
          </cell>
          <cell r="H98">
            <v>50524.219980000002</v>
          </cell>
          <cell r="I98">
            <v>913830.47055423819</v>
          </cell>
          <cell r="J98">
            <v>55533477.695581056</v>
          </cell>
        </row>
        <row r="99">
          <cell r="C99" t="str">
            <v>Bª t«ng lãt mãng M100 ®¸ 4x6</v>
          </cell>
          <cell r="D99" t="str">
            <v>m3</v>
          </cell>
          <cell r="E99">
            <v>9</v>
          </cell>
          <cell r="F99">
            <v>261846.0050055357</v>
          </cell>
          <cell r="G99">
            <v>22898.699999999997</v>
          </cell>
          <cell r="H99">
            <v>12040.565000000001</v>
          </cell>
          <cell r="I99">
            <v>476409.41943829454</v>
          </cell>
          <cell r="J99">
            <v>4287684.7749446509</v>
          </cell>
        </row>
        <row r="100">
          <cell r="C100" t="str">
            <v>Cèt thÐp c¸c lo¹i</v>
          </cell>
          <cell r="D100" t="str">
            <v>TÊn</v>
          </cell>
          <cell r="E100">
            <v>25.245000000000001</v>
          </cell>
          <cell r="F100">
            <v>4932735.3371428577</v>
          </cell>
          <cell r="G100">
            <v>179831.68000000002</v>
          </cell>
          <cell r="H100">
            <v>210581.53</v>
          </cell>
          <cell r="I100">
            <v>7224454.8297665929</v>
          </cell>
          <cell r="J100">
            <v>182381362.17745766</v>
          </cell>
        </row>
        <row r="101">
          <cell r="C101" t="str">
            <v>§¸ héc x©y tø nãn M100</v>
          </cell>
          <cell r="D101" t="str">
            <v>m3</v>
          </cell>
          <cell r="E101">
            <v>18.84</v>
          </cell>
          <cell r="F101">
            <v>278810.8254982286</v>
          </cell>
          <cell r="G101">
            <v>35358.619999999995</v>
          </cell>
          <cell r="H101">
            <v>0</v>
          </cell>
          <cell r="I101">
            <v>488783.70716064883</v>
          </cell>
          <cell r="J101">
            <v>9208685.0429066233</v>
          </cell>
        </row>
        <row r="102">
          <cell r="C102" t="str">
            <v>§¸ héc x©y taluy v÷a M100</v>
          </cell>
          <cell r="D102" t="str">
            <v>m3</v>
          </cell>
          <cell r="E102">
            <v>45</v>
          </cell>
          <cell r="F102">
            <v>248531.96105274287</v>
          </cell>
          <cell r="G102">
            <v>31998.09</v>
          </cell>
          <cell r="H102">
            <v>0</v>
          </cell>
          <cell r="I102">
            <v>437566.59880956577</v>
          </cell>
          <cell r="J102">
            <v>19690496.94643046</v>
          </cell>
        </row>
        <row r="103">
          <cell r="C103" t="str">
            <v>§¸ héc x©y mãng, ch©n khay M100</v>
          </cell>
          <cell r="D103" t="str">
            <v>m3</v>
          </cell>
          <cell r="E103">
            <v>51.2</v>
          </cell>
          <cell r="F103">
            <v>248531.96105274287</v>
          </cell>
          <cell r="G103">
            <v>27907.01</v>
          </cell>
          <cell r="H103">
            <v>0</v>
          </cell>
          <cell r="I103">
            <v>421653.28258626495</v>
          </cell>
          <cell r="J103">
            <v>21588648.068416767</v>
          </cell>
        </row>
        <row r="104">
          <cell r="C104" t="str">
            <v xml:space="preserve">D¨m s¹n ®Öm </v>
          </cell>
          <cell r="D104" t="str">
            <v>m3</v>
          </cell>
          <cell r="E104">
            <v>42.2</v>
          </cell>
          <cell r="F104">
            <v>135855.41509523807</v>
          </cell>
          <cell r="G104">
            <v>30115.26</v>
          </cell>
          <cell r="H104">
            <v>0</v>
          </cell>
          <cell r="I104">
            <v>288292.40124649595</v>
          </cell>
          <cell r="J104">
            <v>12165939.33260213</v>
          </cell>
        </row>
        <row r="105">
          <cell r="C105" t="str">
            <v xml:space="preserve">§µo mãng ®Êt cÊp 3 </v>
          </cell>
          <cell r="D105" t="str">
            <v>m3</v>
          </cell>
          <cell r="E105">
            <v>4314.8999999999996</v>
          </cell>
          <cell r="F105">
            <v>0</v>
          </cell>
          <cell r="G105">
            <v>5890.0582800000002</v>
          </cell>
          <cell r="H105">
            <v>2404.6233119999997</v>
          </cell>
          <cell r="I105">
            <v>26458.435658106639</v>
          </cell>
          <cell r="J105">
            <v>114165504.02116433</v>
          </cell>
        </row>
        <row r="106">
          <cell r="C106" t="str">
            <v>§¾p ®Êt cÊp 3</v>
          </cell>
          <cell r="D106" t="str">
            <v>m3</v>
          </cell>
          <cell r="E106">
            <v>4711.1499999999996</v>
          </cell>
          <cell r="F106">
            <v>0</v>
          </cell>
          <cell r="G106">
            <v>9298.26</v>
          </cell>
          <cell r="H106">
            <v>0</v>
          </cell>
          <cell r="I106">
            <v>36167.992732107356</v>
          </cell>
          <cell r="J106">
            <v>170392838.95986757</v>
          </cell>
        </row>
        <row r="107">
          <cell r="C107" t="str">
            <v>Thi c«ng mè</v>
          </cell>
          <cell r="D107" t="str">
            <v>TB</v>
          </cell>
          <cell r="J107">
            <v>76000000</v>
          </cell>
        </row>
        <row r="108">
          <cell r="C108" t="str">
            <v>9. H¹ng môc kh¸c</v>
          </cell>
          <cell r="D108" t="str">
            <v>TB</v>
          </cell>
          <cell r="I108">
            <v>0</v>
          </cell>
          <cell r="J108">
            <v>55000000</v>
          </cell>
        </row>
        <row r="109">
          <cell r="C109" t="str">
            <v>§¾p ®Êt ®ª quai</v>
          </cell>
          <cell r="D109" t="str">
            <v>m3</v>
          </cell>
          <cell r="E109">
            <v>145</v>
          </cell>
          <cell r="F109">
            <v>0</v>
          </cell>
          <cell r="G109">
            <v>29528.04</v>
          </cell>
          <cell r="H109">
            <v>0</v>
          </cell>
          <cell r="I109">
            <v>137828.35964320746</v>
          </cell>
          <cell r="J109">
            <v>19985112.148265082</v>
          </cell>
        </row>
        <row r="110">
          <cell r="C110" t="str">
            <v>M¸y b¬m n­íc</v>
          </cell>
          <cell r="D110" t="str">
            <v>Ca</v>
          </cell>
          <cell r="E110">
            <v>50</v>
          </cell>
          <cell r="F110">
            <v>0</v>
          </cell>
          <cell r="G110">
            <v>0</v>
          </cell>
          <cell r="H110">
            <v>466499</v>
          </cell>
          <cell r="I110">
            <v>625657.55711489427</v>
          </cell>
          <cell r="J110">
            <v>31282877.855744712</v>
          </cell>
        </row>
        <row r="111">
          <cell r="C111" t="str">
            <v>Mua vµ l¾p ®Æt biÓn b¸o ®­êng bé</v>
          </cell>
          <cell r="D111" t="str">
            <v>Bé</v>
          </cell>
          <cell r="E111">
            <v>4</v>
          </cell>
          <cell r="F111">
            <v>594310.03418620001</v>
          </cell>
          <cell r="G111">
            <v>9170.9856</v>
          </cell>
          <cell r="H111">
            <v>2246.2963200000004</v>
          </cell>
          <cell r="I111">
            <v>860000</v>
          </cell>
          <cell r="J111">
            <v>3440000</v>
          </cell>
        </row>
        <row r="112">
          <cell r="C112" t="str">
            <v>10. Ph¸ dì cÇu cò</v>
          </cell>
          <cell r="J112">
            <v>6037330.3086492335</v>
          </cell>
        </row>
        <row r="113">
          <cell r="C113" t="str">
            <v>§Ëp bá bª t«ng cÇu cò</v>
          </cell>
          <cell r="D113" t="str">
            <v>m3</v>
          </cell>
          <cell r="E113">
            <v>17.103999999999999</v>
          </cell>
          <cell r="F113">
            <v>0</v>
          </cell>
          <cell r="G113">
            <v>68671.7</v>
          </cell>
          <cell r="H113">
            <v>0</v>
          </cell>
          <cell r="I113">
            <v>267116.37946255063</v>
          </cell>
          <cell r="J113">
            <v>4568758.5543274656</v>
          </cell>
        </row>
        <row r="114">
          <cell r="C114" t="str">
            <v>§Ëp bá ®¸ héc x©y cò</v>
          </cell>
          <cell r="D114" t="str">
            <v>m3</v>
          </cell>
          <cell r="E114">
            <v>17</v>
          </cell>
          <cell r="F114">
            <v>0</v>
          </cell>
          <cell r="G114">
            <v>22208.720000000001</v>
          </cell>
          <cell r="H114">
            <v>0</v>
          </cell>
          <cell r="I114">
            <v>86386.573783633401</v>
          </cell>
          <cell r="J114">
            <v>1468571.7543217677</v>
          </cell>
        </row>
        <row r="115">
          <cell r="C115" t="str">
            <v>11. TuyÕn tr¸nh</v>
          </cell>
          <cell r="I115">
            <v>0</v>
          </cell>
          <cell r="J115">
            <v>256918301.60540026</v>
          </cell>
        </row>
        <row r="116">
          <cell r="C116" t="str">
            <v>DÇm I500 lµm cÇu t¹m</v>
          </cell>
          <cell r="D116" t="str">
            <v>TÊn</v>
          </cell>
          <cell r="E116">
            <v>7.5359999999999996</v>
          </cell>
          <cell r="F116">
            <v>999886.30761904758</v>
          </cell>
          <cell r="G116">
            <v>346912.49600000004</v>
          </cell>
          <cell r="H116">
            <v>446151.53</v>
          </cell>
          <cell r="I116">
            <v>3623924.8854130441</v>
          </cell>
          <cell r="J116">
            <v>27309897.936472699</v>
          </cell>
        </row>
        <row r="117">
          <cell r="C117" t="str">
            <v>L¾p dùng vµ th¸o dì cÇu t¹m</v>
          </cell>
          <cell r="D117" t="str">
            <v>TÊn</v>
          </cell>
          <cell r="E117">
            <v>7.5359999999999996</v>
          </cell>
          <cell r="F117">
            <v>278999.99999999994</v>
          </cell>
          <cell r="G117">
            <v>218652</v>
          </cell>
          <cell r="H117">
            <v>543277.45000000007</v>
          </cell>
          <cell r="I117">
            <v>2200391.9957527202</v>
          </cell>
          <cell r="J117">
            <v>16582154.079992497</v>
          </cell>
        </row>
        <row r="118">
          <cell r="C118" t="str">
            <v>L¾p ®Æt vµ th¸o dì rä ®¸</v>
          </cell>
          <cell r="D118" t="str">
            <v>Rä</v>
          </cell>
          <cell r="E118">
            <v>64</v>
          </cell>
          <cell r="F118">
            <v>167311.23357142857</v>
          </cell>
          <cell r="G118">
            <v>63119.520000000004</v>
          </cell>
          <cell r="H118">
            <v>0</v>
          </cell>
          <cell r="I118">
            <v>498735.7040999615</v>
          </cell>
          <cell r="J118">
            <v>31919085.062397536</v>
          </cell>
        </row>
        <row r="119">
          <cell r="C119" t="str">
            <v xml:space="preserve">§¾p ®Êt nÒn ®­êng </v>
          </cell>
          <cell r="D119" t="str">
            <v>m3</v>
          </cell>
          <cell r="E119">
            <v>2145</v>
          </cell>
          <cell r="F119">
            <v>5714.2857142857138</v>
          </cell>
          <cell r="G119">
            <v>6287.7246742857133</v>
          </cell>
          <cell r="H119">
            <v>16215.547368</v>
          </cell>
          <cell r="I119">
            <v>60797.097711059716</v>
          </cell>
          <cell r="J119">
            <v>130409774.59022309</v>
          </cell>
        </row>
        <row r="120">
          <cell r="C120" t="str">
            <v>Mãng cÊp phèi ®¸ d¨m lo¹i 1</v>
          </cell>
          <cell r="D120" t="str">
            <v>m3</v>
          </cell>
          <cell r="E120">
            <v>198</v>
          </cell>
          <cell r="F120">
            <v>211603.89028571427</v>
          </cell>
          <cell r="G120">
            <v>675.13600000000008</v>
          </cell>
          <cell r="H120">
            <v>7602.8820839999989</v>
          </cell>
          <cell r="I120">
            <v>256047.42392078004</v>
          </cell>
          <cell r="J120">
            <v>50697389.936314449</v>
          </cell>
        </row>
        <row r="121">
          <cell r="C121" t="str">
            <v>cÇu b¸nh r¸n km400+68.4</v>
          </cell>
          <cell r="J121">
            <v>1806954333.0773902</v>
          </cell>
        </row>
        <row r="122">
          <cell r="C122" t="str">
            <v>1. DÇm BTCT th­êng L=15m</v>
          </cell>
          <cell r="J122">
            <v>321000000</v>
          </cell>
        </row>
        <row r="123">
          <cell r="C123" t="str">
            <v>DÇm BTCT th­êng L=15m</v>
          </cell>
          <cell r="D123" t="str">
            <v>DÇm</v>
          </cell>
          <cell r="E123">
            <v>5</v>
          </cell>
          <cell r="F123" t="e">
            <v>#N/A</v>
          </cell>
          <cell r="G123" t="e">
            <v>#N/A</v>
          </cell>
          <cell r="H123" t="e">
            <v>#N/A</v>
          </cell>
          <cell r="I123">
            <v>42000000</v>
          </cell>
          <cell r="J123">
            <v>210000000</v>
          </cell>
        </row>
        <row r="124">
          <cell r="C124" t="str">
            <v>Lao l¾p dÇm BTCT L=15m</v>
          </cell>
          <cell r="D124" t="str">
            <v>DÇm</v>
          </cell>
          <cell r="E124">
            <v>5</v>
          </cell>
          <cell r="F124" t="e">
            <v>#N/A</v>
          </cell>
          <cell r="G124" t="e">
            <v>#N/A</v>
          </cell>
          <cell r="H124" t="e">
            <v>#N/A</v>
          </cell>
          <cell r="I124">
            <v>18000000</v>
          </cell>
          <cell r="J124">
            <v>90000000</v>
          </cell>
        </row>
        <row r="125">
          <cell r="C125" t="str">
            <v>Mua vµ l¾p ®Æt gèi cÇu b»ng cao su</v>
          </cell>
          <cell r="D125" t="str">
            <v>Gèi</v>
          </cell>
          <cell r="E125">
            <v>10</v>
          </cell>
          <cell r="F125">
            <v>1581785.4</v>
          </cell>
          <cell r="G125">
            <v>30683.100000000002</v>
          </cell>
          <cell r="H125">
            <v>0</v>
          </cell>
          <cell r="I125">
            <v>2100000</v>
          </cell>
          <cell r="J125">
            <v>21000000</v>
          </cell>
        </row>
        <row r="126">
          <cell r="C126" t="str">
            <v>2. Líp phñ mÆt cÇu</v>
          </cell>
          <cell r="I126">
            <v>0</v>
          </cell>
          <cell r="J126">
            <v>27005956.4417837</v>
          </cell>
        </row>
        <row r="127">
          <cell r="C127" t="str">
            <v>Bª t«ng t¹o dèc M300</v>
          </cell>
          <cell r="D127" t="str">
            <v>m3</v>
          </cell>
          <cell r="E127">
            <v>12</v>
          </cell>
          <cell r="F127">
            <v>574369.22931885719</v>
          </cell>
          <cell r="G127">
            <v>40910.799999999996</v>
          </cell>
          <cell r="H127">
            <v>12642.59325</v>
          </cell>
          <cell r="I127">
            <v>983321.19550532626</v>
          </cell>
          <cell r="J127">
            <v>11799854.346063916</v>
          </cell>
        </row>
        <row r="128">
          <cell r="C128" t="str">
            <v>BTN h¹t mÞn dµy 5cm</v>
          </cell>
          <cell r="D128" t="str">
            <v>m2</v>
          </cell>
          <cell r="E128">
            <v>120</v>
          </cell>
          <cell r="F128">
            <v>42468.434871299731</v>
          </cell>
          <cell r="G128">
            <v>329.74254000000002</v>
          </cell>
          <cell r="H128">
            <v>2021.9958464000001</v>
          </cell>
          <cell r="I128">
            <v>57176.14270663201</v>
          </cell>
          <cell r="J128">
            <v>6861137.1247958411</v>
          </cell>
        </row>
        <row r="129">
          <cell r="C129" t="str">
            <v>Cèt thÐp c¸c lo¹i</v>
          </cell>
          <cell r="D129" t="str">
            <v>TÊn</v>
          </cell>
          <cell r="E129">
            <v>1.2</v>
          </cell>
          <cell r="F129">
            <v>4911215.3371428577</v>
          </cell>
          <cell r="G129">
            <v>159406.01</v>
          </cell>
          <cell r="H129">
            <v>99583.053999999989</v>
          </cell>
          <cell r="I129">
            <v>6954137.4757699519</v>
          </cell>
          <cell r="J129">
            <v>8344964.9709239416</v>
          </cell>
        </row>
        <row r="130">
          <cell r="C130" t="str">
            <v>3. Lan can tay vÞn b»ng BTCT</v>
          </cell>
          <cell r="D130" t="str">
            <v>md</v>
          </cell>
          <cell r="E130">
            <v>56.36</v>
          </cell>
          <cell r="I130">
            <v>450000</v>
          </cell>
          <cell r="J130">
            <v>25362000</v>
          </cell>
        </row>
        <row r="131">
          <cell r="C131" t="str">
            <v>4. B¶n dÉn KT(300x220x20)cm</v>
          </cell>
          <cell r="D131" t="str">
            <v>b¶n</v>
          </cell>
          <cell r="E131">
            <v>8</v>
          </cell>
          <cell r="I131">
            <v>2200000</v>
          </cell>
          <cell r="J131">
            <v>17600000</v>
          </cell>
        </row>
        <row r="132">
          <cell r="C132" t="str">
            <v>5. Khe co d·n cao su</v>
          </cell>
          <cell r="D132" t="str">
            <v>md</v>
          </cell>
          <cell r="E132">
            <v>16</v>
          </cell>
          <cell r="I132">
            <v>2500000</v>
          </cell>
          <cell r="J132">
            <v>40000000</v>
          </cell>
        </row>
        <row r="133">
          <cell r="C133" t="str">
            <v>6. T­êng hé lan mÒm</v>
          </cell>
          <cell r="D133" t="str">
            <v>md</v>
          </cell>
          <cell r="E133">
            <v>40</v>
          </cell>
          <cell r="I133">
            <v>450000</v>
          </cell>
          <cell r="J133">
            <v>18000000</v>
          </cell>
        </row>
        <row r="134">
          <cell r="C134" t="str">
            <v>7. Mè cÇu</v>
          </cell>
          <cell r="I134">
            <v>0</v>
          </cell>
          <cell r="J134">
            <v>876493450.70468807</v>
          </cell>
        </row>
        <row r="135">
          <cell r="C135" t="str">
            <v>Bª t«ng M300</v>
          </cell>
          <cell r="D135" t="str">
            <v>m3</v>
          </cell>
          <cell r="E135">
            <v>248.58</v>
          </cell>
          <cell r="F135">
            <v>563323.6672165714</v>
          </cell>
          <cell r="G135">
            <v>83931.68</v>
          </cell>
          <cell r="H135">
            <v>50524.219980000002</v>
          </cell>
          <cell r="I135">
            <v>1211661.7359944407</v>
          </cell>
          <cell r="J135">
            <v>301194874.33349812</v>
          </cell>
        </row>
        <row r="136">
          <cell r="C136" t="str">
            <v>Bª t«ng M250</v>
          </cell>
          <cell r="D136" t="str">
            <v>m3</v>
          </cell>
          <cell r="E136">
            <v>56.58</v>
          </cell>
          <cell r="F136">
            <v>467896.36724971433</v>
          </cell>
          <cell r="G136">
            <v>44651.040000000001</v>
          </cell>
          <cell r="H136">
            <v>50524.219980000002</v>
          </cell>
          <cell r="I136">
            <v>913830.47055423819</v>
          </cell>
          <cell r="J136">
            <v>51704528.023958795</v>
          </cell>
        </row>
        <row r="137">
          <cell r="C137" t="str">
            <v>Bª t«ng lãt mãng M100 ®¸ 4x6</v>
          </cell>
          <cell r="D137" t="str">
            <v>m3</v>
          </cell>
          <cell r="E137">
            <v>7.2</v>
          </cell>
          <cell r="F137">
            <v>261846.0050055357</v>
          </cell>
          <cell r="G137">
            <v>22898.699999999997</v>
          </cell>
          <cell r="H137">
            <v>12040.565000000001</v>
          </cell>
          <cell r="I137">
            <v>476409.41943829454</v>
          </cell>
          <cell r="J137">
            <v>3430147.8199557206</v>
          </cell>
        </row>
        <row r="138">
          <cell r="C138" t="str">
            <v>Cèt thÐp c¸c lo¹i</v>
          </cell>
          <cell r="D138" t="str">
            <v>TÊn</v>
          </cell>
          <cell r="E138">
            <v>21.361000000000001</v>
          </cell>
          <cell r="F138">
            <v>4932735.3371428577</v>
          </cell>
          <cell r="G138">
            <v>179831.68000000002</v>
          </cell>
          <cell r="H138">
            <v>210581.53</v>
          </cell>
          <cell r="I138">
            <v>7224454.8297665929</v>
          </cell>
          <cell r="J138">
            <v>154321579.61864421</v>
          </cell>
        </row>
        <row r="139">
          <cell r="C139" t="str">
            <v>§¸ héc x©y tø nãn M100</v>
          </cell>
          <cell r="D139" t="str">
            <v>m3</v>
          </cell>
          <cell r="E139">
            <v>52.75</v>
          </cell>
          <cell r="F139">
            <v>278810.8254982286</v>
          </cell>
          <cell r="G139">
            <v>35358.619999999995</v>
          </cell>
          <cell r="H139">
            <v>0</v>
          </cell>
          <cell r="I139">
            <v>488783.70716064883</v>
          </cell>
          <cell r="J139">
            <v>25783340.552724227</v>
          </cell>
        </row>
        <row r="140">
          <cell r="C140" t="str">
            <v>§¸ héc x©y taluy v÷a M100</v>
          </cell>
          <cell r="D140" t="str">
            <v>m3</v>
          </cell>
          <cell r="E140">
            <v>75</v>
          </cell>
          <cell r="F140">
            <v>248531.96105274287</v>
          </cell>
          <cell r="G140">
            <v>31998.09</v>
          </cell>
          <cell r="H140">
            <v>0</v>
          </cell>
          <cell r="I140">
            <v>437566.59880956577</v>
          </cell>
          <cell r="J140">
            <v>32817494.910717431</v>
          </cell>
        </row>
        <row r="141">
          <cell r="C141" t="str">
            <v>§¸ héc x©y mãng, ch©n khay M100</v>
          </cell>
          <cell r="D141" t="str">
            <v>m3</v>
          </cell>
          <cell r="E141">
            <v>62.97</v>
          </cell>
          <cell r="F141">
            <v>248531.96105274287</v>
          </cell>
          <cell r="G141">
            <v>27907.01</v>
          </cell>
          <cell r="H141">
            <v>0</v>
          </cell>
          <cell r="I141">
            <v>421653.28258626495</v>
          </cell>
          <cell r="J141">
            <v>26551507.204457104</v>
          </cell>
        </row>
        <row r="142">
          <cell r="C142" t="str">
            <v xml:space="preserve">D¨m s¹n ®Öm </v>
          </cell>
          <cell r="D142" t="str">
            <v>m3</v>
          </cell>
          <cell r="E142">
            <v>68.55</v>
          </cell>
          <cell r="F142">
            <v>135855.41509523807</v>
          </cell>
          <cell r="G142">
            <v>30115.26</v>
          </cell>
          <cell r="H142">
            <v>0</v>
          </cell>
          <cell r="I142">
            <v>288292.40124649595</v>
          </cell>
          <cell r="J142">
            <v>19762444.105447296</v>
          </cell>
        </row>
        <row r="143">
          <cell r="C143" t="str">
            <v xml:space="preserve">§µo mãng ®Êt cÊp 3 </v>
          </cell>
          <cell r="D143" t="str">
            <v>m3</v>
          </cell>
          <cell r="E143">
            <v>3074.75</v>
          </cell>
          <cell r="F143">
            <v>0</v>
          </cell>
          <cell r="G143">
            <v>5890.0582800000002</v>
          </cell>
          <cell r="H143">
            <v>2404.6233119999997</v>
          </cell>
          <cell r="I143">
            <v>26458.435658106639</v>
          </cell>
          <cell r="J143">
            <v>81353075.039763391</v>
          </cell>
        </row>
        <row r="144">
          <cell r="C144" t="str">
            <v>§¾p ®Êt cÊp 3</v>
          </cell>
          <cell r="D144" t="str">
            <v>m3</v>
          </cell>
          <cell r="E144">
            <v>3195.49</v>
          </cell>
          <cell r="F144">
            <v>0</v>
          </cell>
          <cell r="G144">
            <v>9298.26</v>
          </cell>
          <cell r="H144">
            <v>0</v>
          </cell>
          <cell r="I144">
            <v>36167.992732107356</v>
          </cell>
          <cell r="J144">
            <v>115574459.09552172</v>
          </cell>
        </row>
        <row r="145">
          <cell r="C145" t="str">
            <v>Thi c«ng mè</v>
          </cell>
          <cell r="D145" t="str">
            <v>TB</v>
          </cell>
          <cell r="J145">
            <v>64000000</v>
          </cell>
        </row>
        <row r="146">
          <cell r="C146" t="str">
            <v xml:space="preserve">8. Cäc BTCT (35x35)cm </v>
          </cell>
          <cell r="D146" t="str">
            <v>md</v>
          </cell>
          <cell r="E146">
            <v>480</v>
          </cell>
          <cell r="I146">
            <v>400000</v>
          </cell>
          <cell r="J146">
            <v>192000000</v>
          </cell>
        </row>
        <row r="147">
          <cell r="C147" t="str">
            <v>9. Ph¸ dì cÇu cò</v>
          </cell>
          <cell r="J147">
            <v>27858183.286820337</v>
          </cell>
        </row>
        <row r="148">
          <cell r="C148" t="str">
            <v>§Ëp bá bª t«ng cÇu cò</v>
          </cell>
          <cell r="D148" t="str">
            <v>m3</v>
          </cell>
          <cell r="E148">
            <v>43.22</v>
          </cell>
          <cell r="F148">
            <v>0</v>
          </cell>
          <cell r="G148">
            <v>68671.7</v>
          </cell>
          <cell r="H148">
            <v>0</v>
          </cell>
          <cell r="I148">
            <v>267116.37946255063</v>
          </cell>
          <cell r="J148">
            <v>11544769.920371437</v>
          </cell>
        </row>
        <row r="149">
          <cell r="C149" t="str">
            <v>§Ëp bá ®¸ héc x©y cò</v>
          </cell>
          <cell r="D149" t="str">
            <v>m3</v>
          </cell>
          <cell r="E149">
            <v>188.84200000000001</v>
          </cell>
          <cell r="F149">
            <v>0</v>
          </cell>
          <cell r="G149">
            <v>22208.720000000001</v>
          </cell>
          <cell r="H149">
            <v>0</v>
          </cell>
          <cell r="I149">
            <v>86386.573783633401</v>
          </cell>
          <cell r="J149">
            <v>16313413.3664489</v>
          </cell>
        </row>
        <row r="150">
          <cell r="C150" t="str">
            <v>10. H¹ng môc kh¸c</v>
          </cell>
          <cell r="D150" t="str">
            <v>TB</v>
          </cell>
          <cell r="I150">
            <v>0</v>
          </cell>
          <cell r="J150">
            <v>52000000</v>
          </cell>
        </row>
        <row r="151">
          <cell r="C151" t="str">
            <v>§¾p ®Êt ®ª quai</v>
          </cell>
          <cell r="D151" t="str">
            <v>m3</v>
          </cell>
          <cell r="E151">
            <v>115</v>
          </cell>
          <cell r="F151">
            <v>0</v>
          </cell>
          <cell r="G151">
            <v>29528.04</v>
          </cell>
          <cell r="H151">
            <v>0</v>
          </cell>
          <cell r="I151">
            <v>137828.35964320746</v>
          </cell>
          <cell r="J151">
            <v>15850261.358968858</v>
          </cell>
        </row>
        <row r="152">
          <cell r="C152" t="str">
            <v>M¸y b¬m n­íc</v>
          </cell>
          <cell r="D152" t="str">
            <v>Ca</v>
          </cell>
          <cell r="E152">
            <v>52</v>
          </cell>
          <cell r="F152">
            <v>0</v>
          </cell>
          <cell r="G152">
            <v>0</v>
          </cell>
          <cell r="H152">
            <v>466499</v>
          </cell>
          <cell r="I152">
            <v>625657.55711489427</v>
          </cell>
          <cell r="J152">
            <v>32534192.969974503</v>
          </cell>
        </row>
        <row r="153">
          <cell r="C153" t="str">
            <v>Mua vµ l¾p ®Æt biÓn b¸o ®­êng bé</v>
          </cell>
          <cell r="D153" t="str">
            <v>Bé</v>
          </cell>
          <cell r="E153">
            <v>4</v>
          </cell>
          <cell r="F153">
            <v>594310.03418620001</v>
          </cell>
          <cell r="G153">
            <v>9170.9856</v>
          </cell>
          <cell r="H153">
            <v>2246.2963200000004</v>
          </cell>
          <cell r="I153">
            <v>860000</v>
          </cell>
          <cell r="J153">
            <v>3440000</v>
          </cell>
        </row>
        <row r="154">
          <cell r="C154" t="str">
            <v>11. TuyÕn tr¸nh</v>
          </cell>
          <cell r="D154" t="str">
            <v>Bé</v>
          </cell>
          <cell r="E154">
            <v>4</v>
          </cell>
          <cell r="F154">
            <v>594310.03418620001</v>
          </cell>
          <cell r="G154">
            <v>9170.9856</v>
          </cell>
          <cell r="H154">
            <v>2246.2963200000004</v>
          </cell>
          <cell r="I154">
            <v>0</v>
          </cell>
          <cell r="J154">
            <v>209634742.64409792</v>
          </cell>
        </row>
        <row r="155">
          <cell r="C155" t="str">
            <v>DÇm I500 lµm cÇu t¹m</v>
          </cell>
          <cell r="D155" t="str">
            <v>TÊn</v>
          </cell>
          <cell r="E155">
            <v>7.5359999999999996</v>
          </cell>
          <cell r="F155">
            <v>999886.30761904758</v>
          </cell>
          <cell r="G155">
            <v>346912.49600000004</v>
          </cell>
          <cell r="H155">
            <v>446151.53</v>
          </cell>
          <cell r="I155">
            <v>3623924.8854130441</v>
          </cell>
          <cell r="J155">
            <v>27309897.936472699</v>
          </cell>
        </row>
        <row r="156">
          <cell r="C156" t="str">
            <v>L¾p dùng vµ th¸o dì cÇu t¹m</v>
          </cell>
          <cell r="D156" t="str">
            <v>TÊn</v>
          </cell>
          <cell r="E156">
            <v>7.5359999999999996</v>
          </cell>
          <cell r="F156">
            <v>278999.99999999994</v>
          </cell>
          <cell r="G156">
            <v>218652</v>
          </cell>
          <cell r="H156">
            <v>543277.45000000007</v>
          </cell>
          <cell r="I156">
            <v>2200391.9957527202</v>
          </cell>
          <cell r="J156">
            <v>16582154.079992497</v>
          </cell>
        </row>
        <row r="157">
          <cell r="C157" t="str">
            <v>L¾p ®Æt vµ th¸o dì rä ®¸</v>
          </cell>
          <cell r="D157" t="str">
            <v>Rä</v>
          </cell>
          <cell r="E157">
            <v>80</v>
          </cell>
          <cell r="F157">
            <v>167311.23357142857</v>
          </cell>
          <cell r="G157">
            <v>63119.520000000004</v>
          </cell>
          <cell r="H157">
            <v>0</v>
          </cell>
          <cell r="I157">
            <v>498735.7040999615</v>
          </cell>
          <cell r="J157">
            <v>39898856.327996917</v>
          </cell>
        </row>
        <row r="158">
          <cell r="C158" t="str">
            <v xml:space="preserve">§¾p ®Êt nÒn ®­êng </v>
          </cell>
          <cell r="D158" t="str">
            <v>m3</v>
          </cell>
          <cell r="E158">
            <v>1375</v>
          </cell>
          <cell r="F158">
            <v>5714.2857142857138</v>
          </cell>
          <cell r="G158">
            <v>6287.7246742857133</v>
          </cell>
          <cell r="H158">
            <v>16215.547368</v>
          </cell>
          <cell r="I158">
            <v>60797.097711059716</v>
          </cell>
          <cell r="J158">
            <v>83596009.352707103</v>
          </cell>
        </row>
        <row r="159">
          <cell r="C159" t="str">
            <v>Mãng cÊp phèi ®¸ d¨m lo¹i 1</v>
          </cell>
          <cell r="D159" t="str">
            <v>m3</v>
          </cell>
          <cell r="E159">
            <v>165</v>
          </cell>
          <cell r="F159">
            <v>211603.89028571427</v>
          </cell>
          <cell r="G159">
            <v>675.13600000000008</v>
          </cell>
          <cell r="H159">
            <v>7602.8820839999989</v>
          </cell>
          <cell r="I159">
            <v>256047.42392078004</v>
          </cell>
          <cell r="J159">
            <v>42247824.94692871</v>
          </cell>
        </row>
        <row r="160">
          <cell r="C160" t="str">
            <v>cÇu c©y ng·i km401+18.63</v>
          </cell>
          <cell r="J160">
            <v>1511488655.496485</v>
          </cell>
        </row>
        <row r="161">
          <cell r="C161" t="str">
            <v>1. DÇm BTCT th­êng L=15m</v>
          </cell>
          <cell r="J161">
            <v>321000000</v>
          </cell>
        </row>
        <row r="162">
          <cell r="C162" t="str">
            <v>DÇm BTCT th­êng L=15m</v>
          </cell>
          <cell r="D162" t="str">
            <v>DÇm</v>
          </cell>
          <cell r="E162">
            <v>5</v>
          </cell>
          <cell r="F162" t="e">
            <v>#N/A</v>
          </cell>
          <cell r="G162" t="e">
            <v>#N/A</v>
          </cell>
          <cell r="H162" t="e">
            <v>#N/A</v>
          </cell>
          <cell r="I162">
            <v>42000000</v>
          </cell>
          <cell r="J162">
            <v>210000000</v>
          </cell>
        </row>
        <row r="163">
          <cell r="C163" t="str">
            <v>Lao l¾p dÇm BTCT L=15m</v>
          </cell>
          <cell r="D163" t="str">
            <v>DÇm</v>
          </cell>
          <cell r="E163">
            <v>5</v>
          </cell>
          <cell r="F163" t="e">
            <v>#N/A</v>
          </cell>
          <cell r="G163" t="e">
            <v>#N/A</v>
          </cell>
          <cell r="H163" t="e">
            <v>#N/A</v>
          </cell>
          <cell r="I163">
            <v>18000000</v>
          </cell>
          <cell r="J163">
            <v>90000000</v>
          </cell>
        </row>
        <row r="164">
          <cell r="C164" t="str">
            <v>Mua vµ l¾p ®Æt gèi cÇu b»ng cao su</v>
          </cell>
          <cell r="D164" t="str">
            <v>Gèi</v>
          </cell>
          <cell r="E164">
            <v>10</v>
          </cell>
          <cell r="F164">
            <v>1581785.4</v>
          </cell>
          <cell r="G164">
            <v>30683.100000000002</v>
          </cell>
          <cell r="H164">
            <v>0</v>
          </cell>
          <cell r="I164">
            <v>2100000</v>
          </cell>
          <cell r="J164">
            <v>21000000</v>
          </cell>
        </row>
        <row r="165">
          <cell r="C165" t="str">
            <v>2. Líp phñ mÆt cÇu</v>
          </cell>
          <cell r="I165">
            <v>0</v>
          </cell>
          <cell r="J165">
            <v>27005956.4417837</v>
          </cell>
        </row>
        <row r="166">
          <cell r="C166" t="str">
            <v>Bª t«ng t¹o dèc M300</v>
          </cell>
          <cell r="D166" t="str">
            <v>m3</v>
          </cell>
          <cell r="E166">
            <v>12</v>
          </cell>
          <cell r="F166">
            <v>574369.22931885719</v>
          </cell>
          <cell r="G166">
            <v>40910.799999999996</v>
          </cell>
          <cell r="H166">
            <v>12642.59325</v>
          </cell>
          <cell r="I166">
            <v>983321.19550532626</v>
          </cell>
          <cell r="J166">
            <v>11799854.346063916</v>
          </cell>
        </row>
        <row r="167">
          <cell r="C167" t="str">
            <v>BTN h¹t mÞn dµy 5cm</v>
          </cell>
          <cell r="D167" t="str">
            <v>m2</v>
          </cell>
          <cell r="E167">
            <v>120</v>
          </cell>
          <cell r="F167">
            <v>42468.434871299731</v>
          </cell>
          <cell r="G167">
            <v>329.74254000000002</v>
          </cell>
          <cell r="H167">
            <v>2021.9958464000001</v>
          </cell>
          <cell r="I167">
            <v>57176.14270663201</v>
          </cell>
          <cell r="J167">
            <v>6861137.1247958411</v>
          </cell>
        </row>
        <row r="168">
          <cell r="C168" t="str">
            <v>Cèt thÐp c¸c lo¹i</v>
          </cell>
          <cell r="D168" t="str">
            <v>TÊn</v>
          </cell>
          <cell r="E168">
            <v>1.2</v>
          </cell>
          <cell r="F168">
            <v>4911215.3371428577</v>
          </cell>
          <cell r="G168">
            <v>159406.01</v>
          </cell>
          <cell r="H168">
            <v>99583.053999999989</v>
          </cell>
          <cell r="I168">
            <v>6954137.4757699519</v>
          </cell>
          <cell r="J168">
            <v>8344964.9709239416</v>
          </cell>
        </row>
        <row r="169">
          <cell r="C169" t="str">
            <v>3. Lan can tay vÞn b»ng BTCT</v>
          </cell>
          <cell r="D169" t="str">
            <v>md</v>
          </cell>
          <cell r="E169">
            <v>44.04</v>
          </cell>
          <cell r="I169">
            <v>450000</v>
          </cell>
          <cell r="J169">
            <v>19818000</v>
          </cell>
        </row>
        <row r="170">
          <cell r="C170" t="str">
            <v>4. B¶n dÉn KT(300x220x20)cm</v>
          </cell>
          <cell r="D170" t="str">
            <v>b¶n</v>
          </cell>
          <cell r="E170">
            <v>8</v>
          </cell>
          <cell r="I170">
            <v>2200000</v>
          </cell>
          <cell r="J170">
            <v>17600000</v>
          </cell>
        </row>
        <row r="171">
          <cell r="C171" t="str">
            <v>5. Khe co d·n cao su</v>
          </cell>
          <cell r="D171" t="str">
            <v>md</v>
          </cell>
          <cell r="E171">
            <v>16</v>
          </cell>
          <cell r="I171">
            <v>2500000</v>
          </cell>
          <cell r="J171">
            <v>40000000</v>
          </cell>
        </row>
        <row r="172">
          <cell r="C172" t="str">
            <v>6. T­êng hé lan mÒm</v>
          </cell>
          <cell r="D172" t="str">
            <v>md</v>
          </cell>
          <cell r="E172">
            <v>40</v>
          </cell>
          <cell r="I172">
            <v>450000</v>
          </cell>
          <cell r="J172">
            <v>18000000</v>
          </cell>
        </row>
        <row r="173">
          <cell r="C173" t="str">
            <v>7. Mè cÇu</v>
          </cell>
          <cell r="I173">
            <v>0</v>
          </cell>
          <cell r="J173">
            <v>517250349.20303231</v>
          </cell>
        </row>
        <row r="174">
          <cell r="C174" t="str">
            <v>Bª t«ng M300</v>
          </cell>
          <cell r="D174" t="str">
            <v>m3</v>
          </cell>
          <cell r="E174">
            <v>146.88</v>
          </cell>
          <cell r="F174">
            <v>563323.6672165714</v>
          </cell>
          <cell r="G174">
            <v>83931.68</v>
          </cell>
          <cell r="H174">
            <v>50524.219980000002</v>
          </cell>
          <cell r="I174">
            <v>1211661.7359944407</v>
          </cell>
          <cell r="J174">
            <v>177968875.78286344</v>
          </cell>
        </row>
        <row r="175">
          <cell r="C175" t="str">
            <v>Bª t«ng M250</v>
          </cell>
          <cell r="D175" t="str">
            <v>m3</v>
          </cell>
          <cell r="E175">
            <v>18.32</v>
          </cell>
          <cell r="F175">
            <v>467896.36724971433</v>
          </cell>
          <cell r="G175">
            <v>44651.040000000001</v>
          </cell>
          <cell r="H175">
            <v>50524.219980000002</v>
          </cell>
          <cell r="I175">
            <v>913830.47055423819</v>
          </cell>
          <cell r="J175">
            <v>16741374.220553644</v>
          </cell>
        </row>
        <row r="176">
          <cell r="C176" t="str">
            <v>Bª t«ng lãt mãng M100 ®¸ 4x6</v>
          </cell>
          <cell r="D176" t="str">
            <v>m3</v>
          </cell>
          <cell r="E176">
            <v>6.3</v>
          </cell>
          <cell r="F176">
            <v>261846.0050055357</v>
          </cell>
          <cell r="G176">
            <v>22898.699999999997</v>
          </cell>
          <cell r="H176">
            <v>12040.565000000001</v>
          </cell>
          <cell r="I176">
            <v>476409.41943829454</v>
          </cell>
          <cell r="J176">
            <v>3001379.3424612554</v>
          </cell>
        </row>
        <row r="177">
          <cell r="C177" t="str">
            <v>Cèt thÐp c¸c lo¹i</v>
          </cell>
          <cell r="D177" t="str">
            <v>TÊn</v>
          </cell>
          <cell r="E177">
            <v>11.564</v>
          </cell>
          <cell r="F177">
            <v>4932735.3371428577</v>
          </cell>
          <cell r="G177">
            <v>179831.68000000002</v>
          </cell>
          <cell r="H177">
            <v>210581.53</v>
          </cell>
          <cell r="I177">
            <v>7224454.8297665929</v>
          </cell>
          <cell r="J177">
            <v>83543595.651420876</v>
          </cell>
        </row>
        <row r="178">
          <cell r="C178" t="str">
            <v>§¸ héc x©y tø nãn M100</v>
          </cell>
          <cell r="D178" t="str">
            <v>m3</v>
          </cell>
          <cell r="E178">
            <v>85.49</v>
          </cell>
          <cell r="F178">
            <v>278810.8254982286</v>
          </cell>
          <cell r="G178">
            <v>35358.619999999995</v>
          </cell>
          <cell r="H178">
            <v>0</v>
          </cell>
          <cell r="I178">
            <v>488783.70716064883</v>
          </cell>
          <cell r="J178">
            <v>41786119.125163868</v>
          </cell>
        </row>
        <row r="179">
          <cell r="C179" t="str">
            <v>§¸ héc x©y taluy v÷a M100</v>
          </cell>
          <cell r="D179" t="str">
            <v>m3</v>
          </cell>
          <cell r="E179">
            <v>81</v>
          </cell>
          <cell r="F179">
            <v>248531.96105274287</v>
          </cell>
          <cell r="G179">
            <v>31998.09</v>
          </cell>
          <cell r="H179">
            <v>0</v>
          </cell>
          <cell r="I179">
            <v>437566.59880956577</v>
          </cell>
          <cell r="J179">
            <v>35442894.503574826</v>
          </cell>
        </row>
        <row r="180">
          <cell r="C180" t="str">
            <v>§¸ héc x©y mãng, ch©n khay M100</v>
          </cell>
          <cell r="D180" t="str">
            <v>m3</v>
          </cell>
          <cell r="E180">
            <v>67.5</v>
          </cell>
          <cell r="F180">
            <v>248531.96105274287</v>
          </cell>
          <cell r="G180">
            <v>27907.01</v>
          </cell>
          <cell r="H180">
            <v>0</v>
          </cell>
          <cell r="I180">
            <v>421653.28258626495</v>
          </cell>
          <cell r="J180">
            <v>28461596.574572884</v>
          </cell>
        </row>
        <row r="181">
          <cell r="C181" t="str">
            <v xml:space="preserve">D¨m s¹n ®Öm </v>
          </cell>
          <cell r="D181" t="str">
            <v>m3</v>
          </cell>
          <cell r="E181">
            <v>71.09</v>
          </cell>
          <cell r="F181">
            <v>135855.41509523807</v>
          </cell>
          <cell r="G181">
            <v>30115.26</v>
          </cell>
          <cell r="H181">
            <v>0</v>
          </cell>
          <cell r="I181">
            <v>288292.40124649595</v>
          </cell>
          <cell r="J181">
            <v>20494706.804613397</v>
          </cell>
        </row>
        <row r="182">
          <cell r="C182" t="str">
            <v xml:space="preserve">§µo mãng ®Êt cÊp 3 </v>
          </cell>
          <cell r="D182" t="str">
            <v>m3</v>
          </cell>
          <cell r="E182">
            <v>708.5</v>
          </cell>
          <cell r="F182">
            <v>0</v>
          </cell>
          <cell r="G182">
            <v>5890.0582800000002</v>
          </cell>
          <cell r="H182">
            <v>2404.6233119999997</v>
          </cell>
          <cell r="I182">
            <v>26458.435658106639</v>
          </cell>
          <cell r="J182">
            <v>18745801.663768552</v>
          </cell>
        </row>
        <row r="183">
          <cell r="C183" t="str">
            <v>§¾p ®Êt cÊp 3</v>
          </cell>
          <cell r="D183" t="str">
            <v>m3</v>
          </cell>
          <cell r="E183">
            <v>1550.1</v>
          </cell>
          <cell r="F183">
            <v>0</v>
          </cell>
          <cell r="G183">
            <v>9298.26</v>
          </cell>
          <cell r="H183">
            <v>0</v>
          </cell>
          <cell r="I183">
            <v>36167.992732107356</v>
          </cell>
          <cell r="J183">
            <v>56064005.534039609</v>
          </cell>
        </row>
        <row r="184">
          <cell r="C184" t="str">
            <v>Thi c«ng mè</v>
          </cell>
          <cell r="D184" t="str">
            <v>TB</v>
          </cell>
          <cell r="J184">
            <v>35000000</v>
          </cell>
        </row>
        <row r="185">
          <cell r="C185" t="str">
            <v xml:space="preserve">8. Cäc BTCT (35x35)cm </v>
          </cell>
          <cell r="D185" t="str">
            <v>md</v>
          </cell>
          <cell r="E185">
            <v>360</v>
          </cell>
          <cell r="I185">
            <v>400000</v>
          </cell>
          <cell r="J185">
            <v>144000000</v>
          </cell>
        </row>
        <row r="186">
          <cell r="C186" t="str">
            <v>9. H¹ng môc kh¸c</v>
          </cell>
          <cell r="D186" t="str">
            <v>TB</v>
          </cell>
          <cell r="I186">
            <v>0</v>
          </cell>
          <cell r="J186">
            <v>30000000</v>
          </cell>
        </row>
        <row r="187">
          <cell r="C187" t="str">
            <v>§¾p ®Êt ®ª quai</v>
          </cell>
          <cell r="D187" t="str">
            <v>m3</v>
          </cell>
          <cell r="E187">
            <v>54.32</v>
          </cell>
          <cell r="F187">
            <v>0</v>
          </cell>
          <cell r="G187">
            <v>29528.04</v>
          </cell>
          <cell r="H187">
            <v>0</v>
          </cell>
          <cell r="I187">
            <v>137828.35964320746</v>
          </cell>
          <cell r="J187">
            <v>7486836.4958190294</v>
          </cell>
        </row>
        <row r="188">
          <cell r="C188" t="str">
            <v>M¸y b¬m n­íc</v>
          </cell>
          <cell r="D188" t="str">
            <v>Ca</v>
          </cell>
          <cell r="E188">
            <v>30</v>
          </cell>
          <cell r="F188">
            <v>0</v>
          </cell>
          <cell r="G188">
            <v>0</v>
          </cell>
          <cell r="H188">
            <v>466499</v>
          </cell>
          <cell r="I188">
            <v>625657.55711489427</v>
          </cell>
          <cell r="J188">
            <v>18769726.713446829</v>
          </cell>
        </row>
        <row r="189">
          <cell r="C189" t="str">
            <v>Mua vµ l¾p ®Æt biÓn b¸o ®­êng bé</v>
          </cell>
          <cell r="D189" t="str">
            <v>Bé</v>
          </cell>
          <cell r="E189">
            <v>4</v>
          </cell>
          <cell r="F189">
            <v>594310.03418620001</v>
          </cell>
          <cell r="G189">
            <v>9170.9856</v>
          </cell>
          <cell r="H189">
            <v>2246.2963200000004</v>
          </cell>
          <cell r="I189">
            <v>860000</v>
          </cell>
          <cell r="J189">
            <v>3440000</v>
          </cell>
        </row>
        <row r="190">
          <cell r="C190" t="str">
            <v>10. Ph¸ dì cÇu cò</v>
          </cell>
          <cell r="J190">
            <v>28093660.225139789</v>
          </cell>
        </row>
        <row r="191">
          <cell r="C191" t="str">
            <v>§Ëp bá bª t«ng cÇu cò</v>
          </cell>
          <cell r="D191" t="str">
            <v>m3</v>
          </cell>
          <cell r="E191">
            <v>28.46</v>
          </cell>
          <cell r="F191">
            <v>0</v>
          </cell>
          <cell r="G191">
            <v>68671.7</v>
          </cell>
          <cell r="H191">
            <v>0</v>
          </cell>
          <cell r="I191">
            <v>267116.37946255063</v>
          </cell>
          <cell r="J191">
            <v>7602132.159504191</v>
          </cell>
        </row>
        <row r="192">
          <cell r="C192" t="str">
            <v>§Ëp bá ®¸ héc x©y cò</v>
          </cell>
          <cell r="D192" t="str">
            <v>m3</v>
          </cell>
          <cell r="E192">
            <v>132.30000000000001</v>
          </cell>
          <cell r="F192">
            <v>0</v>
          </cell>
          <cell r="G192">
            <v>22208.720000000001</v>
          </cell>
          <cell r="H192">
            <v>0</v>
          </cell>
          <cell r="I192">
            <v>86386.573783633401</v>
          </cell>
          <cell r="J192">
            <v>11428943.7115747</v>
          </cell>
        </row>
        <row r="193">
          <cell r="C193" t="str">
            <v>Th¸o dì thÐp cÇu cò</v>
          </cell>
          <cell r="D193" t="str">
            <v>TÊn</v>
          </cell>
          <cell r="E193">
            <v>4.71</v>
          </cell>
          <cell r="F193">
            <v>215999.99999999997</v>
          </cell>
          <cell r="G193">
            <v>218652</v>
          </cell>
          <cell r="H193">
            <v>543277.45000000007</v>
          </cell>
          <cell r="I193">
            <v>1924115.5741105948</v>
          </cell>
          <cell r="J193">
            <v>9062584.3540609013</v>
          </cell>
        </row>
        <row r="194">
          <cell r="C194" t="str">
            <v>11. TuyÕn tr¸nh</v>
          </cell>
          <cell r="I194">
            <v>0</v>
          </cell>
          <cell r="J194">
            <v>348720689.6265291</v>
          </cell>
        </row>
        <row r="195">
          <cell r="C195" t="str">
            <v>DÇm I500 lµm cÇu t¹m</v>
          </cell>
          <cell r="D195" t="str">
            <v>TÊn</v>
          </cell>
          <cell r="E195">
            <v>7.5359999999999996</v>
          </cell>
          <cell r="F195">
            <v>999886.30761904758</v>
          </cell>
          <cell r="G195">
            <v>346912.49600000004</v>
          </cell>
          <cell r="H195">
            <v>446151.53</v>
          </cell>
          <cell r="I195">
            <v>3623924.8854130441</v>
          </cell>
          <cell r="J195">
            <v>27309897.936472699</v>
          </cell>
        </row>
        <row r="196">
          <cell r="C196" t="str">
            <v>L¾p dùng vµ th¸o dì cÇu t¹m</v>
          </cell>
          <cell r="D196" t="str">
            <v>TÊn</v>
          </cell>
          <cell r="E196">
            <v>7.5359999999999996</v>
          </cell>
          <cell r="F196">
            <v>278999.99999999994</v>
          </cell>
          <cell r="G196">
            <v>218652</v>
          </cell>
          <cell r="H196">
            <v>543277.45000000007</v>
          </cell>
          <cell r="I196">
            <v>2200391.9957527202</v>
          </cell>
          <cell r="J196">
            <v>16582154.079992497</v>
          </cell>
        </row>
        <row r="197">
          <cell r="C197" t="str">
            <v>L¾p ®Æt vµ th¸o dì rä ®¸</v>
          </cell>
          <cell r="D197" t="str">
            <v>Rä</v>
          </cell>
          <cell r="E197">
            <v>140</v>
          </cell>
          <cell r="F197">
            <v>167311.23357142857</v>
          </cell>
          <cell r="G197">
            <v>63119.520000000004</v>
          </cell>
          <cell r="H197">
            <v>0</v>
          </cell>
          <cell r="I197">
            <v>498735.7040999615</v>
          </cell>
          <cell r="J197">
            <v>69822998.573994607</v>
          </cell>
        </row>
        <row r="198">
          <cell r="C198" t="str">
            <v xml:space="preserve">§¾p ®Êt nÒn ®­êng </v>
          </cell>
          <cell r="D198" t="str">
            <v>m3</v>
          </cell>
          <cell r="E198">
            <v>3240</v>
          </cell>
          <cell r="F198">
            <v>5714.2857142857138</v>
          </cell>
          <cell r="G198">
            <v>6287.7246742857133</v>
          </cell>
          <cell r="H198">
            <v>16215.547368</v>
          </cell>
          <cell r="I198">
            <v>60797.097711059716</v>
          </cell>
          <cell r="J198">
            <v>196982596.58383349</v>
          </cell>
        </row>
        <row r="199">
          <cell r="C199" t="str">
            <v>Mãng cÊp phèi ®¸ d¨m lo¹i 1</v>
          </cell>
          <cell r="D199" t="str">
            <v>m3</v>
          </cell>
          <cell r="E199">
            <v>148.5</v>
          </cell>
          <cell r="F199">
            <v>211603.89028571427</v>
          </cell>
          <cell r="G199">
            <v>675.13600000000008</v>
          </cell>
          <cell r="H199">
            <v>7602.8820839999989</v>
          </cell>
          <cell r="I199">
            <v>256047.42392078004</v>
          </cell>
          <cell r="J199">
            <v>38023042.452235833</v>
          </cell>
        </row>
        <row r="200">
          <cell r="C200" t="str">
            <v>cÇu khe thê km401+362.66</v>
          </cell>
          <cell r="J200">
            <v>1659700711.0894449</v>
          </cell>
        </row>
        <row r="201">
          <cell r="C201" t="str">
            <v>1. DÇm b¶n BTCT D¦L L=9m</v>
          </cell>
          <cell r="J201">
            <v>333000000</v>
          </cell>
        </row>
        <row r="202">
          <cell r="C202" t="str">
            <v>DÇm b¶n BTCT D¦L L=9m</v>
          </cell>
          <cell r="D202" t="str">
            <v>DÇm</v>
          </cell>
          <cell r="E202">
            <v>9</v>
          </cell>
          <cell r="F202" t="e">
            <v>#N/A</v>
          </cell>
          <cell r="G202" t="e">
            <v>#N/A</v>
          </cell>
          <cell r="H202" t="e">
            <v>#N/A</v>
          </cell>
          <cell r="I202">
            <v>25000000</v>
          </cell>
          <cell r="J202">
            <v>225000000</v>
          </cell>
        </row>
        <row r="203">
          <cell r="C203" t="str">
            <v>Lao l¾p dÇm b¶n BTCT D¦L L=9m</v>
          </cell>
          <cell r="D203" t="str">
            <v>DÇm</v>
          </cell>
          <cell r="E203">
            <v>9</v>
          </cell>
          <cell r="F203" t="e">
            <v>#N/A</v>
          </cell>
          <cell r="G203" t="e">
            <v>#N/A</v>
          </cell>
          <cell r="H203" t="e">
            <v>#N/A</v>
          </cell>
          <cell r="I203">
            <v>12000000</v>
          </cell>
          <cell r="J203">
            <v>108000000</v>
          </cell>
        </row>
        <row r="204">
          <cell r="C204" t="str">
            <v>2. Líp phñ mÆt cÇu</v>
          </cell>
          <cell r="I204">
            <v>0</v>
          </cell>
          <cell r="J204">
            <v>18106924.370404184</v>
          </cell>
        </row>
        <row r="205">
          <cell r="C205" t="str">
            <v>Bª t«ng t¹o dèc M300</v>
          </cell>
          <cell r="D205" t="str">
            <v>m3</v>
          </cell>
          <cell r="E205">
            <v>7.7</v>
          </cell>
          <cell r="F205">
            <v>574369.22931885719</v>
          </cell>
          <cell r="G205">
            <v>40910.799999999996</v>
          </cell>
          <cell r="H205">
            <v>12642.59325</v>
          </cell>
          <cell r="I205">
            <v>983321.19550532626</v>
          </cell>
          <cell r="J205">
            <v>7571573.2053910121</v>
          </cell>
        </row>
        <row r="206">
          <cell r="C206" t="str">
            <v>BTN h¹t mÞn dµy 5cm</v>
          </cell>
          <cell r="D206" t="str">
            <v>m2</v>
          </cell>
          <cell r="E206">
            <v>72</v>
          </cell>
          <cell r="F206">
            <v>42468.434871299731</v>
          </cell>
          <cell r="G206">
            <v>329.74254000000002</v>
          </cell>
          <cell r="H206">
            <v>2021.9958464000001</v>
          </cell>
          <cell r="I206">
            <v>57176.14270663201</v>
          </cell>
          <cell r="J206">
            <v>4116682.2748775049</v>
          </cell>
        </row>
        <row r="207">
          <cell r="C207" t="str">
            <v>Cèt thÐp c¸c lo¹i</v>
          </cell>
          <cell r="D207" t="str">
            <v>TÊn</v>
          </cell>
          <cell r="E207">
            <v>0.92300000000000004</v>
          </cell>
          <cell r="F207">
            <v>4911215.3371428577</v>
          </cell>
          <cell r="G207">
            <v>159406.01</v>
          </cell>
          <cell r="H207">
            <v>99583.053999999989</v>
          </cell>
          <cell r="I207">
            <v>6954137.4757699519</v>
          </cell>
          <cell r="J207">
            <v>6418668.8901356664</v>
          </cell>
        </row>
        <row r="208">
          <cell r="C208" t="str">
            <v>3. Lan can tay vÞn b»ng BTCT</v>
          </cell>
          <cell r="D208" t="str">
            <v>md</v>
          </cell>
          <cell r="E208">
            <v>41.88</v>
          </cell>
          <cell r="I208">
            <v>450000</v>
          </cell>
          <cell r="J208">
            <v>18846000</v>
          </cell>
        </row>
        <row r="209">
          <cell r="C209" t="str">
            <v>4. B¶n dÉn KT(300x220x20)cm</v>
          </cell>
          <cell r="D209" t="str">
            <v>b¶n</v>
          </cell>
          <cell r="E209">
            <v>8</v>
          </cell>
          <cell r="I209">
            <v>2200000</v>
          </cell>
          <cell r="J209">
            <v>17600000</v>
          </cell>
        </row>
        <row r="210">
          <cell r="C210" t="str">
            <v>5. MatÝt tÈm nhùa ®­êng</v>
          </cell>
          <cell r="D210" t="str">
            <v>m3</v>
          </cell>
          <cell r="E210">
            <v>0.18</v>
          </cell>
          <cell r="I210">
            <v>150000</v>
          </cell>
          <cell r="J210">
            <v>27000</v>
          </cell>
        </row>
        <row r="211">
          <cell r="C211" t="str">
            <v>6. T­êng hé lan mÒm</v>
          </cell>
          <cell r="D211" t="str">
            <v>md</v>
          </cell>
          <cell r="E211">
            <v>40</v>
          </cell>
          <cell r="I211">
            <v>450000</v>
          </cell>
          <cell r="J211">
            <v>18000000</v>
          </cell>
        </row>
        <row r="212">
          <cell r="C212" t="str">
            <v>7. Mè cÇu</v>
          </cell>
          <cell r="I212">
            <v>0</v>
          </cell>
          <cell r="J212">
            <v>898913500.1734997</v>
          </cell>
        </row>
        <row r="213">
          <cell r="C213" t="str">
            <v>Bª t«ng M300</v>
          </cell>
          <cell r="D213" t="str">
            <v>m3</v>
          </cell>
          <cell r="E213">
            <v>254.56</v>
          </cell>
          <cell r="F213">
            <v>563323.6672165714</v>
          </cell>
          <cell r="G213">
            <v>83931.68</v>
          </cell>
          <cell r="H213">
            <v>50524.219980000002</v>
          </cell>
          <cell r="I213">
            <v>1211661.7359944407</v>
          </cell>
          <cell r="J213">
            <v>308440611.51474482</v>
          </cell>
        </row>
        <row r="214">
          <cell r="C214" t="str">
            <v>Bª t«ng M250</v>
          </cell>
          <cell r="D214" t="str">
            <v>m3</v>
          </cell>
          <cell r="E214">
            <v>48.58</v>
          </cell>
          <cell r="F214">
            <v>467896.36724971433</v>
          </cell>
          <cell r="G214">
            <v>44651.040000000001</v>
          </cell>
          <cell r="H214">
            <v>50524.219980000002</v>
          </cell>
          <cell r="I214">
            <v>913830.47055423819</v>
          </cell>
          <cell r="J214">
            <v>44393884.259524889</v>
          </cell>
        </row>
        <row r="215">
          <cell r="C215" t="str">
            <v>Bª t«ng lãt mãng M100 ®¸ 4x6</v>
          </cell>
          <cell r="D215" t="str">
            <v>m3</v>
          </cell>
          <cell r="E215">
            <v>7.2</v>
          </cell>
          <cell r="F215">
            <v>261846.0050055357</v>
          </cell>
          <cell r="G215">
            <v>22898.699999999997</v>
          </cell>
          <cell r="H215">
            <v>12040.565000000001</v>
          </cell>
          <cell r="I215">
            <v>476409.41943829454</v>
          </cell>
          <cell r="J215">
            <v>3430147.8199557206</v>
          </cell>
        </row>
        <row r="216">
          <cell r="C216" t="str">
            <v>Cèt thÐp c¸c lo¹i</v>
          </cell>
          <cell r="D216" t="str">
            <v>TÊn</v>
          </cell>
          <cell r="E216">
            <v>21.219000000000001</v>
          </cell>
          <cell r="F216">
            <v>4932735.3371428577</v>
          </cell>
          <cell r="G216">
            <v>179831.68000000002</v>
          </cell>
          <cell r="H216">
            <v>210581.53</v>
          </cell>
          <cell r="I216">
            <v>7224454.8297665929</v>
          </cell>
          <cell r="J216">
            <v>153295707.03281733</v>
          </cell>
        </row>
        <row r="217">
          <cell r="C217" t="str">
            <v>§¸ héc x©y tø nãn M100</v>
          </cell>
          <cell r="D217" t="str">
            <v>m3</v>
          </cell>
          <cell r="E217">
            <v>81</v>
          </cell>
          <cell r="F217">
            <v>278810.8254982286</v>
          </cell>
          <cell r="G217">
            <v>35358.619999999995</v>
          </cell>
          <cell r="H217">
            <v>0</v>
          </cell>
          <cell r="I217">
            <v>488783.70716064883</v>
          </cell>
          <cell r="J217">
            <v>39591480.280012555</v>
          </cell>
        </row>
        <row r="218">
          <cell r="C218" t="str">
            <v>§¸ héc x©y taluy v÷a M100</v>
          </cell>
          <cell r="D218" t="str">
            <v>m3</v>
          </cell>
          <cell r="E218">
            <v>37.5</v>
          </cell>
          <cell r="F218">
            <v>248531.96105274287</v>
          </cell>
          <cell r="G218">
            <v>31998.09</v>
          </cell>
          <cell r="H218">
            <v>0</v>
          </cell>
          <cell r="I218">
            <v>437566.59880956577</v>
          </cell>
          <cell r="J218">
            <v>16408747.455358716</v>
          </cell>
        </row>
        <row r="219">
          <cell r="C219" t="str">
            <v>§¸ héc x©y v÷a M100 gia cè lßng cÇu</v>
          </cell>
          <cell r="D219" t="str">
            <v>m3</v>
          </cell>
          <cell r="E219">
            <v>67.03</v>
          </cell>
          <cell r="F219">
            <v>248531.96105274287</v>
          </cell>
          <cell r="G219">
            <v>30390.880000000001</v>
          </cell>
          <cell r="H219">
            <v>0</v>
          </cell>
          <cell r="I219">
            <v>437566.59880956577</v>
          </cell>
          <cell r="J219">
            <v>29330089.118205193</v>
          </cell>
        </row>
        <row r="220">
          <cell r="C220" t="str">
            <v>§¸ héc x©y mãng, ch©n khay M100</v>
          </cell>
          <cell r="D220" t="str">
            <v>m3</v>
          </cell>
          <cell r="E220">
            <v>84.54</v>
          </cell>
          <cell r="F220">
            <v>248531.96105274287</v>
          </cell>
          <cell r="G220">
            <v>27907.01</v>
          </cell>
          <cell r="H220">
            <v>0</v>
          </cell>
          <cell r="I220">
            <v>421653.28258626495</v>
          </cell>
          <cell r="J220">
            <v>35646568.509842843</v>
          </cell>
        </row>
        <row r="221">
          <cell r="C221" t="str">
            <v xml:space="preserve">D¨m s¹n ®Öm </v>
          </cell>
          <cell r="D221" t="str">
            <v>m3</v>
          </cell>
          <cell r="E221">
            <v>79.849999999999994</v>
          </cell>
          <cell r="F221">
            <v>135855.41509523807</v>
          </cell>
          <cell r="G221">
            <v>30115.26</v>
          </cell>
          <cell r="H221">
            <v>0</v>
          </cell>
          <cell r="I221">
            <v>288292.40124649595</v>
          </cell>
          <cell r="J221">
            <v>23020148.239532702</v>
          </cell>
        </row>
        <row r="222">
          <cell r="C222" t="str">
            <v xml:space="preserve">§µo mãng ®Êt cÊp 3 </v>
          </cell>
          <cell r="D222" t="str">
            <v>m3</v>
          </cell>
          <cell r="E222">
            <v>2658.67</v>
          </cell>
          <cell r="F222">
            <v>0</v>
          </cell>
          <cell r="G222">
            <v>5890.0582800000002</v>
          </cell>
          <cell r="H222">
            <v>2404.6233119999997</v>
          </cell>
          <cell r="I222">
            <v>26458.435658106639</v>
          </cell>
          <cell r="J222">
            <v>70344249.131138384</v>
          </cell>
        </row>
        <row r="223">
          <cell r="C223" t="str">
            <v>§¾p ®Êt cÊp 3</v>
          </cell>
          <cell r="D223" t="str">
            <v>m3</v>
          </cell>
          <cell r="E223">
            <v>3069.34</v>
          </cell>
          <cell r="F223">
            <v>0</v>
          </cell>
          <cell r="G223">
            <v>9298.26</v>
          </cell>
          <cell r="H223">
            <v>0</v>
          </cell>
          <cell r="I223">
            <v>36167.992732107356</v>
          </cell>
          <cell r="J223">
            <v>111011866.8123664</v>
          </cell>
        </row>
        <row r="224">
          <cell r="C224" t="str">
            <v>Thi c«ng mè</v>
          </cell>
          <cell r="D224" t="str">
            <v>TB</v>
          </cell>
          <cell r="J224">
            <v>64000000</v>
          </cell>
        </row>
        <row r="225">
          <cell r="C225" t="str">
            <v xml:space="preserve">8. Cäc BTCT (35x35)cm </v>
          </cell>
          <cell r="D225" t="str">
            <v>md</v>
          </cell>
          <cell r="E225">
            <v>288</v>
          </cell>
          <cell r="I225">
            <v>400000</v>
          </cell>
          <cell r="J225">
            <v>115200000</v>
          </cell>
        </row>
        <row r="226">
          <cell r="C226" t="str">
            <v>9. H¹ng môc kh¸c</v>
          </cell>
          <cell r="D226" t="str">
            <v>TB</v>
          </cell>
          <cell r="I226">
            <v>0</v>
          </cell>
          <cell r="J226">
            <v>44000000</v>
          </cell>
        </row>
        <row r="227">
          <cell r="C227" t="str">
            <v>§¾p ®Êt ®ª quai</v>
          </cell>
          <cell r="D227" t="str">
            <v>m3</v>
          </cell>
          <cell r="E227">
            <v>85.6</v>
          </cell>
          <cell r="F227">
            <v>0</v>
          </cell>
          <cell r="G227">
            <v>29528.04</v>
          </cell>
          <cell r="H227">
            <v>0</v>
          </cell>
          <cell r="I227">
            <v>137828.35964320746</v>
          </cell>
          <cell r="J227">
            <v>11798107.585458558</v>
          </cell>
        </row>
        <row r="228">
          <cell r="C228" t="str">
            <v>M¸y b¬m n­íc</v>
          </cell>
          <cell r="D228" t="str">
            <v>Ca</v>
          </cell>
          <cell r="E228">
            <v>45</v>
          </cell>
          <cell r="F228">
            <v>0</v>
          </cell>
          <cell r="G228">
            <v>0</v>
          </cell>
          <cell r="H228">
            <v>466499</v>
          </cell>
          <cell r="I228">
            <v>625657.55711489427</v>
          </cell>
          <cell r="J228">
            <v>28154590.070170242</v>
          </cell>
        </row>
        <row r="229">
          <cell r="C229" t="str">
            <v>Mua vµ l¾p ®Æt biÓn b¸o ®­êng bé</v>
          </cell>
          <cell r="D229" t="str">
            <v>Bé</v>
          </cell>
          <cell r="E229">
            <v>4</v>
          </cell>
          <cell r="F229">
            <v>594310.03418620001</v>
          </cell>
          <cell r="G229">
            <v>9170.9856</v>
          </cell>
          <cell r="H229">
            <v>2246.2963200000004</v>
          </cell>
          <cell r="I229">
            <v>860000</v>
          </cell>
          <cell r="J229">
            <v>3440000</v>
          </cell>
        </row>
        <row r="230">
          <cell r="C230" t="str">
            <v>10. Ph¸ dì cÇu cò</v>
          </cell>
          <cell r="J230">
            <v>24667345.144283161</v>
          </cell>
        </row>
        <row r="231">
          <cell r="C231" t="str">
            <v>§Ëp bá bª t«ng cÇu cò</v>
          </cell>
          <cell r="D231" t="str">
            <v>m3</v>
          </cell>
          <cell r="E231">
            <v>43.06</v>
          </cell>
          <cell r="F231">
            <v>0</v>
          </cell>
          <cell r="G231">
            <v>68671.7</v>
          </cell>
          <cell r="H231">
            <v>0</v>
          </cell>
          <cell r="I231">
            <v>267116.37946255063</v>
          </cell>
          <cell r="J231">
            <v>11502031.29965743</v>
          </cell>
        </row>
        <row r="232">
          <cell r="C232" t="str">
            <v>§Ëp bá ®¸ héc x©y cò</v>
          </cell>
          <cell r="D232" t="str">
            <v>m3</v>
          </cell>
          <cell r="E232">
            <v>152.4</v>
          </cell>
          <cell r="F232">
            <v>0</v>
          </cell>
          <cell r="G232">
            <v>22208.720000000001</v>
          </cell>
          <cell r="H232">
            <v>0</v>
          </cell>
          <cell r="I232">
            <v>86386.573783633401</v>
          </cell>
          <cell r="J232">
            <v>13165313.84462573</v>
          </cell>
        </row>
        <row r="233">
          <cell r="C233" t="str">
            <v>11. TuyÕn tr¸nh</v>
          </cell>
          <cell r="I233">
            <v>0</v>
          </cell>
          <cell r="J233">
            <v>171339941.4012579</v>
          </cell>
        </row>
        <row r="234">
          <cell r="C234" t="str">
            <v>DÇm I500 lµm cÇu t¹m</v>
          </cell>
          <cell r="D234" t="str">
            <v>TÊn</v>
          </cell>
          <cell r="E234">
            <v>7.5359999999999996</v>
          </cell>
          <cell r="F234">
            <v>999886.30761904758</v>
          </cell>
          <cell r="G234">
            <v>346912.49600000004</v>
          </cell>
          <cell r="H234">
            <v>446151.53</v>
          </cell>
          <cell r="I234">
            <v>3623924.8854130441</v>
          </cell>
          <cell r="J234">
            <v>27309897.936472699</v>
          </cell>
        </row>
        <row r="235">
          <cell r="C235" t="str">
            <v>L¾p dùng vµ th¸o dì cÇu t¹m</v>
          </cell>
          <cell r="D235" t="str">
            <v>TÊn</v>
          </cell>
          <cell r="E235">
            <v>7.5359999999999996</v>
          </cell>
          <cell r="F235">
            <v>278999.99999999994</v>
          </cell>
          <cell r="G235">
            <v>218652</v>
          </cell>
          <cell r="H235">
            <v>543277.45000000007</v>
          </cell>
          <cell r="I235">
            <v>2200391.9957527202</v>
          </cell>
          <cell r="J235">
            <v>16582154.079992497</v>
          </cell>
        </row>
        <row r="236">
          <cell r="C236" t="str">
            <v>L¾p ®Æt vµ th¸o dì rä ®¸</v>
          </cell>
          <cell r="D236" t="str">
            <v>Rä</v>
          </cell>
          <cell r="E236">
            <v>80</v>
          </cell>
          <cell r="F236">
            <v>167311.23357142857</v>
          </cell>
          <cell r="G236">
            <v>63119.520000000004</v>
          </cell>
          <cell r="H236">
            <v>0</v>
          </cell>
          <cell r="I236">
            <v>498735.7040999615</v>
          </cell>
          <cell r="J236">
            <v>39898856.327996917</v>
          </cell>
        </row>
        <row r="237">
          <cell r="C237" t="str">
            <v xml:space="preserve">§¾p ®Êt nÒn ®­êng </v>
          </cell>
          <cell r="D237" t="str">
            <v>m3</v>
          </cell>
          <cell r="E237">
            <v>1015.5</v>
          </cell>
          <cell r="F237">
            <v>5714.2857142857138</v>
          </cell>
          <cell r="G237">
            <v>6287.7246742857133</v>
          </cell>
          <cell r="H237">
            <v>16215.547368</v>
          </cell>
          <cell r="I237">
            <v>60797.097711059716</v>
          </cell>
          <cell r="J237">
            <v>61739452.725581139</v>
          </cell>
        </row>
        <row r="238">
          <cell r="C238" t="str">
            <v>Mãng cÊp phèi ®¸ d¨m lo¹i 1</v>
          </cell>
          <cell r="D238" t="str">
            <v>m3</v>
          </cell>
          <cell r="E238">
            <v>100.8</v>
          </cell>
          <cell r="F238">
            <v>211603.89028571427</v>
          </cell>
          <cell r="G238">
            <v>675.13600000000008</v>
          </cell>
          <cell r="H238">
            <v>7602.8820839999989</v>
          </cell>
          <cell r="I238">
            <v>256047.42392078004</v>
          </cell>
          <cell r="J238">
            <v>25809580.331214629</v>
          </cell>
        </row>
        <row r="239">
          <cell r="C239" t="str">
            <v>cÇu ®µ g©n km401+714.2</v>
          </cell>
          <cell r="J239">
            <v>1732650642.6747282</v>
          </cell>
        </row>
        <row r="240">
          <cell r="C240" t="str">
            <v>1. DÇm BTCT th­êng L=18m</v>
          </cell>
          <cell r="D240" t="str">
            <v>m3</v>
          </cell>
          <cell r="E240">
            <v>152.4</v>
          </cell>
          <cell r="F240">
            <v>0</v>
          </cell>
          <cell r="G240">
            <v>22208.720000000001</v>
          </cell>
          <cell r="H240">
            <v>0</v>
          </cell>
          <cell r="I240">
            <v>86386.573783633401</v>
          </cell>
          <cell r="J240">
            <v>371000000</v>
          </cell>
        </row>
        <row r="241">
          <cell r="C241" t="str">
            <v>DÇm BTCT th­êng L=18m</v>
          </cell>
          <cell r="D241" t="str">
            <v>DÇm</v>
          </cell>
          <cell r="E241">
            <v>5</v>
          </cell>
          <cell r="F241" t="e">
            <v>#N/A</v>
          </cell>
          <cell r="G241" t="e">
            <v>#N/A</v>
          </cell>
          <cell r="H241" t="e">
            <v>#N/A</v>
          </cell>
          <cell r="I241">
            <v>50000000</v>
          </cell>
          <cell r="J241">
            <v>250000000</v>
          </cell>
        </row>
        <row r="242">
          <cell r="C242" t="str">
            <v>Lao l¾p dÇm BTCT th­êng  L=18m</v>
          </cell>
          <cell r="D242" t="str">
            <v>DÇm</v>
          </cell>
          <cell r="E242">
            <v>5</v>
          </cell>
          <cell r="F242" t="e">
            <v>#N/A</v>
          </cell>
          <cell r="G242" t="e">
            <v>#N/A</v>
          </cell>
          <cell r="H242" t="e">
            <v>#N/A</v>
          </cell>
          <cell r="I242">
            <v>20000000</v>
          </cell>
          <cell r="J242">
            <v>100000000</v>
          </cell>
        </row>
        <row r="243">
          <cell r="C243" t="str">
            <v>Mua vµ l¾p ®Æt gèi cÇu b»ng cao su</v>
          </cell>
          <cell r="D243" t="str">
            <v>Gèi</v>
          </cell>
          <cell r="E243">
            <v>10</v>
          </cell>
          <cell r="F243">
            <v>1581785.4</v>
          </cell>
          <cell r="G243">
            <v>30683.100000000002</v>
          </cell>
          <cell r="H243">
            <v>0</v>
          </cell>
          <cell r="I243">
            <v>2100000</v>
          </cell>
          <cell r="J243">
            <v>21000000</v>
          </cell>
        </row>
        <row r="244">
          <cell r="C244" t="str">
            <v>2. Líp phñ mÆt cÇu</v>
          </cell>
          <cell r="I244">
            <v>0</v>
          </cell>
          <cell r="J244">
            <v>32407147.730140436</v>
          </cell>
        </row>
        <row r="245">
          <cell r="C245" t="str">
            <v>Bª t«ng t¹o dèc M300</v>
          </cell>
          <cell r="D245" t="str">
            <v>m3</v>
          </cell>
          <cell r="E245">
            <v>14.4</v>
          </cell>
          <cell r="F245">
            <v>574369.22931885719</v>
          </cell>
          <cell r="G245">
            <v>40910.799999999996</v>
          </cell>
          <cell r="H245">
            <v>12642.59325</v>
          </cell>
          <cell r="I245">
            <v>983321.19550532626</v>
          </cell>
          <cell r="J245">
            <v>14159825.215276698</v>
          </cell>
        </row>
        <row r="246">
          <cell r="C246" t="str">
            <v>BTN h¹t mÞn dµy 5cm</v>
          </cell>
          <cell r="D246" t="str">
            <v>m2</v>
          </cell>
          <cell r="E246">
            <v>144</v>
          </cell>
          <cell r="F246">
            <v>42468.434871299731</v>
          </cell>
          <cell r="G246">
            <v>329.74254000000002</v>
          </cell>
          <cell r="H246">
            <v>2021.9958464000001</v>
          </cell>
          <cell r="I246">
            <v>57176.14270663201</v>
          </cell>
          <cell r="J246">
            <v>8233364.5497550098</v>
          </cell>
        </row>
        <row r="247">
          <cell r="C247" t="str">
            <v>Cèt thÐp c¸c lo¹i</v>
          </cell>
          <cell r="D247" t="str">
            <v>TÊn</v>
          </cell>
          <cell r="E247">
            <v>1.44</v>
          </cell>
          <cell r="F247">
            <v>4911215.3371428577</v>
          </cell>
          <cell r="G247">
            <v>159406.01</v>
          </cell>
          <cell r="H247">
            <v>99583.053999999989</v>
          </cell>
          <cell r="I247">
            <v>6954137.4757699519</v>
          </cell>
          <cell r="J247">
            <v>10013957.96510873</v>
          </cell>
        </row>
        <row r="248">
          <cell r="C248" t="str">
            <v>3. Lan can tay vÞn b»ng BTCT</v>
          </cell>
          <cell r="D248" t="str">
            <v>md</v>
          </cell>
          <cell r="E248">
            <v>60.36</v>
          </cell>
          <cell r="I248">
            <v>450000</v>
          </cell>
          <cell r="J248">
            <v>27162000</v>
          </cell>
        </row>
        <row r="249">
          <cell r="C249" t="str">
            <v>4. B¶n dÉn KT(300x220x20)cm</v>
          </cell>
          <cell r="D249" t="str">
            <v>b¶n</v>
          </cell>
          <cell r="E249">
            <v>8</v>
          </cell>
          <cell r="I249">
            <v>2200000</v>
          </cell>
          <cell r="J249">
            <v>17600000</v>
          </cell>
        </row>
        <row r="250">
          <cell r="C250" t="str">
            <v>5. Khe co d·n cao su</v>
          </cell>
          <cell r="D250" t="str">
            <v>md</v>
          </cell>
          <cell r="E250">
            <v>16</v>
          </cell>
          <cell r="I250">
            <v>2500000</v>
          </cell>
          <cell r="J250">
            <v>40000000</v>
          </cell>
        </row>
        <row r="251">
          <cell r="C251" t="str">
            <v>6. T­êng hé lan mÒm</v>
          </cell>
          <cell r="D251" t="str">
            <v>md</v>
          </cell>
          <cell r="E251">
            <v>40</v>
          </cell>
          <cell r="I251">
            <v>450000</v>
          </cell>
          <cell r="J251">
            <v>18000000</v>
          </cell>
        </row>
        <row r="252">
          <cell r="C252" t="str">
            <v>7. Mè cÇu</v>
          </cell>
          <cell r="I252">
            <v>0</v>
          </cell>
          <cell r="J252">
            <v>908724718.61787379</v>
          </cell>
        </row>
        <row r="253">
          <cell r="C253" t="str">
            <v>Bª t«ng M300</v>
          </cell>
          <cell r="D253" t="str">
            <v>m3</v>
          </cell>
          <cell r="E253">
            <v>308.48</v>
          </cell>
          <cell r="F253">
            <v>563323.6672165714</v>
          </cell>
          <cell r="G253">
            <v>83931.68</v>
          </cell>
          <cell r="H253">
            <v>50524.219980000002</v>
          </cell>
          <cell r="I253">
            <v>1211661.7359944407</v>
          </cell>
          <cell r="J253">
            <v>373773412.31956512</v>
          </cell>
        </row>
        <row r="254">
          <cell r="C254" t="str">
            <v>Bª t«ng M250</v>
          </cell>
          <cell r="D254" t="str">
            <v>m3</v>
          </cell>
          <cell r="E254">
            <v>59.04</v>
          </cell>
          <cell r="F254">
            <v>467896.36724971433</v>
          </cell>
          <cell r="G254">
            <v>44651.040000000001</v>
          </cell>
          <cell r="H254">
            <v>50524.219980000002</v>
          </cell>
          <cell r="I254">
            <v>913830.47055423819</v>
          </cell>
          <cell r="J254">
            <v>53952550.981522225</v>
          </cell>
        </row>
        <row r="255">
          <cell r="C255" t="str">
            <v>Bª t«ng lãt mãng M100 ®¸ 4x6</v>
          </cell>
          <cell r="D255" t="str">
            <v>m3</v>
          </cell>
          <cell r="E255">
            <v>7.36</v>
          </cell>
          <cell r="F255">
            <v>261846.0050055357</v>
          </cell>
          <cell r="G255">
            <v>22898.699999999997</v>
          </cell>
          <cell r="H255">
            <v>12040.565000000001</v>
          </cell>
          <cell r="I255">
            <v>476409.41943829454</v>
          </cell>
          <cell r="J255">
            <v>3506373.3270658478</v>
          </cell>
        </row>
        <row r="256">
          <cell r="C256" t="str">
            <v>Cèt thÐp c¸c lo¹i</v>
          </cell>
          <cell r="D256" t="str">
            <v>TÊn</v>
          </cell>
          <cell r="E256">
            <v>25.73</v>
          </cell>
          <cell r="F256">
            <v>4932735.3371428577</v>
          </cell>
          <cell r="G256">
            <v>179831.68000000002</v>
          </cell>
          <cell r="H256">
            <v>210581.53</v>
          </cell>
          <cell r="I256">
            <v>7224454.8297665929</v>
          </cell>
          <cell r="J256">
            <v>185885222.76989445</v>
          </cell>
        </row>
        <row r="257">
          <cell r="C257" t="str">
            <v>§¸ héc x©y tø nãn M100</v>
          </cell>
          <cell r="D257" t="str">
            <v>m3</v>
          </cell>
          <cell r="E257">
            <v>59.35</v>
          </cell>
          <cell r="F257">
            <v>278810.8254982286</v>
          </cell>
          <cell r="G257">
            <v>35358.619999999995</v>
          </cell>
          <cell r="H257">
            <v>0</v>
          </cell>
          <cell r="I257">
            <v>488783.70716064883</v>
          </cell>
          <cell r="J257">
            <v>29009313.01998451</v>
          </cell>
        </row>
        <row r="258">
          <cell r="C258" t="str">
            <v>§¸ héc x©y taluy v÷a M100</v>
          </cell>
          <cell r="D258" t="str">
            <v>m3</v>
          </cell>
          <cell r="E258">
            <v>103.13</v>
          </cell>
          <cell r="F258">
            <v>248531.96105274287</v>
          </cell>
          <cell r="G258">
            <v>31998.09</v>
          </cell>
          <cell r="H258">
            <v>0</v>
          </cell>
          <cell r="I258">
            <v>437566.59880956577</v>
          </cell>
          <cell r="J258">
            <v>45126243.335230514</v>
          </cell>
        </row>
        <row r="259">
          <cell r="C259" t="str">
            <v>§¸ héc x©y mãng, ch©n khay M100</v>
          </cell>
          <cell r="D259" t="str">
            <v>m3</v>
          </cell>
          <cell r="E259">
            <v>74.22</v>
          </cell>
          <cell r="F259">
            <v>248531.96105274287</v>
          </cell>
          <cell r="G259">
            <v>27907.01</v>
          </cell>
          <cell r="H259">
            <v>0</v>
          </cell>
          <cell r="I259">
            <v>421653.28258626495</v>
          </cell>
          <cell r="J259">
            <v>31295106.633552585</v>
          </cell>
        </row>
        <row r="260">
          <cell r="C260" t="str">
            <v xml:space="preserve">D¨m s¹n ®Öm </v>
          </cell>
          <cell r="D260" t="str">
            <v>m3</v>
          </cell>
          <cell r="E260">
            <v>83.19</v>
          </cell>
          <cell r="F260">
            <v>135855.41509523807</v>
          </cell>
          <cell r="G260">
            <v>30115.26</v>
          </cell>
          <cell r="H260">
            <v>0</v>
          </cell>
          <cell r="I260">
            <v>288292.40124649595</v>
          </cell>
          <cell r="J260">
            <v>23983044.859695997</v>
          </cell>
        </row>
        <row r="261">
          <cell r="C261" t="str">
            <v xml:space="preserve">§µo mãng ®Êt cÊp 3 </v>
          </cell>
          <cell r="D261" t="str">
            <v>m3</v>
          </cell>
          <cell r="E261">
            <v>1201</v>
          </cell>
          <cell r="F261">
            <v>0</v>
          </cell>
          <cell r="G261">
            <v>5890.0582800000002</v>
          </cell>
          <cell r="H261">
            <v>2404.6233119999997</v>
          </cell>
          <cell r="I261">
            <v>26458.435658106639</v>
          </cell>
          <cell r="J261">
            <v>31776581.225386072</v>
          </cell>
        </row>
        <row r="262">
          <cell r="C262" t="str">
            <v>§¾p ®Êt cÊp 3</v>
          </cell>
          <cell r="D262" t="str">
            <v>m3</v>
          </cell>
          <cell r="E262">
            <v>1476.91</v>
          </cell>
          <cell r="F262">
            <v>0</v>
          </cell>
          <cell r="G262">
            <v>9298.26</v>
          </cell>
          <cell r="H262">
            <v>0</v>
          </cell>
          <cell r="I262">
            <v>36167.992732107356</v>
          </cell>
          <cell r="J262">
            <v>53416870.145976678</v>
          </cell>
        </row>
        <row r="263">
          <cell r="C263" t="str">
            <v>Thi c«ng mè</v>
          </cell>
          <cell r="D263" t="str">
            <v>TB</v>
          </cell>
          <cell r="J263">
            <v>77000000</v>
          </cell>
        </row>
        <row r="264">
          <cell r="C264" t="str">
            <v xml:space="preserve">8. Cäc BTCT (35x35)cm </v>
          </cell>
          <cell r="D264" t="str">
            <v>md</v>
          </cell>
          <cell r="E264">
            <v>0</v>
          </cell>
          <cell r="I264">
            <v>400000</v>
          </cell>
          <cell r="J264">
            <v>0</v>
          </cell>
        </row>
        <row r="265">
          <cell r="C265" t="str">
            <v>9. Ph¸ dì cÇu cò</v>
          </cell>
          <cell r="J265">
            <v>39762432.747345254</v>
          </cell>
        </row>
        <row r="266">
          <cell r="C266" t="str">
            <v>§Ëp bá bª t«ng cÇu cò</v>
          </cell>
          <cell r="D266" t="str">
            <v>m3</v>
          </cell>
          <cell r="E266">
            <v>96.03</v>
          </cell>
          <cell r="F266">
            <v>0</v>
          </cell>
          <cell r="G266">
            <v>68671.7</v>
          </cell>
          <cell r="H266">
            <v>0</v>
          </cell>
          <cell r="I266">
            <v>267116.37946255063</v>
          </cell>
          <cell r="J266">
            <v>25651185.919788737</v>
          </cell>
        </row>
        <row r="267">
          <cell r="C267" t="str">
            <v>§Ëp bá ®¸ héc x©y cò</v>
          </cell>
          <cell r="D267" t="str">
            <v>m3</v>
          </cell>
          <cell r="E267">
            <v>163.35</v>
          </cell>
          <cell r="F267">
            <v>0</v>
          </cell>
          <cell r="G267">
            <v>22208.720000000001</v>
          </cell>
          <cell r="H267">
            <v>0</v>
          </cell>
          <cell r="I267">
            <v>86386.573783633401</v>
          </cell>
          <cell r="J267">
            <v>14111246.827556515</v>
          </cell>
        </row>
        <row r="268">
          <cell r="C268" t="str">
            <v>10. H¹ng môc kh¸c</v>
          </cell>
          <cell r="D268" t="str">
            <v>TB</v>
          </cell>
          <cell r="E268">
            <v>3150</v>
          </cell>
          <cell r="F268">
            <v>5714.2857142857138</v>
          </cell>
          <cell r="G268">
            <v>6287.7246742857133</v>
          </cell>
          <cell r="H268">
            <v>16215.547368</v>
          </cell>
          <cell r="I268">
            <v>0</v>
          </cell>
          <cell r="J268">
            <v>60000000</v>
          </cell>
        </row>
        <row r="269">
          <cell r="C269" t="str">
            <v>§¾p ®Êt ®ª quai</v>
          </cell>
          <cell r="D269" t="str">
            <v>m3</v>
          </cell>
          <cell r="E269">
            <v>120</v>
          </cell>
          <cell r="F269">
            <v>0</v>
          </cell>
          <cell r="G269">
            <v>29528.04</v>
          </cell>
          <cell r="H269">
            <v>0</v>
          </cell>
          <cell r="I269">
            <v>137828.35964320746</v>
          </cell>
          <cell r="J269">
            <v>16539403.157184895</v>
          </cell>
        </row>
        <row r="270">
          <cell r="C270" t="str">
            <v>M¸y b¬m n­íc</v>
          </cell>
          <cell r="D270" t="str">
            <v>Ca</v>
          </cell>
          <cell r="E270">
            <v>54</v>
          </cell>
          <cell r="F270">
            <v>0</v>
          </cell>
          <cell r="G270">
            <v>0</v>
          </cell>
          <cell r="H270">
            <v>466499</v>
          </cell>
          <cell r="I270">
            <v>625657.55711489427</v>
          </cell>
          <cell r="J270">
            <v>33785508.084204294</v>
          </cell>
        </row>
        <row r="271">
          <cell r="C271" t="str">
            <v>Mua vµ l¾p ®Æt biÓn b¸o ®­êng bé</v>
          </cell>
          <cell r="D271" t="str">
            <v>Bé</v>
          </cell>
          <cell r="E271">
            <v>4</v>
          </cell>
          <cell r="F271">
            <v>594310.03418620001</v>
          </cell>
          <cell r="G271">
            <v>9170.9856</v>
          </cell>
          <cell r="H271">
            <v>2246.2963200000004</v>
          </cell>
          <cell r="I271">
            <v>860000</v>
          </cell>
          <cell r="J271">
            <v>3440000</v>
          </cell>
        </row>
        <row r="272">
          <cell r="C272" t="str">
            <v>11. TuyÕn tr¸nh</v>
          </cell>
          <cell r="I272">
            <v>0</v>
          </cell>
          <cell r="J272">
            <v>217994343.57936862</v>
          </cell>
        </row>
        <row r="273">
          <cell r="C273" t="str">
            <v>DÇm I500 lµm cÇu t¹m</v>
          </cell>
          <cell r="D273" t="str">
            <v>TÊn</v>
          </cell>
          <cell r="E273">
            <v>7.5359999999999996</v>
          </cell>
          <cell r="F273">
            <v>999886.30761904758</v>
          </cell>
          <cell r="G273">
            <v>346912.49600000004</v>
          </cell>
          <cell r="H273">
            <v>446151.53</v>
          </cell>
          <cell r="I273">
            <v>3623924.8854130441</v>
          </cell>
          <cell r="J273">
            <v>27309897.936472699</v>
          </cell>
        </row>
        <row r="274">
          <cell r="C274" t="str">
            <v>L¾p dùng vµ th¸o dì cÇu t¹m</v>
          </cell>
          <cell r="D274" t="str">
            <v>TÊn</v>
          </cell>
          <cell r="E274">
            <v>7.5359999999999996</v>
          </cell>
          <cell r="F274">
            <v>278999.99999999994</v>
          </cell>
          <cell r="G274">
            <v>218652</v>
          </cell>
          <cell r="H274">
            <v>543277.45000000007</v>
          </cell>
          <cell r="I274">
            <v>2200391.9957527202</v>
          </cell>
          <cell r="J274">
            <v>16582154.079992497</v>
          </cell>
        </row>
        <row r="275">
          <cell r="C275" t="str">
            <v>L¾p ®Æt vµ th¸o dì rä ®¸</v>
          </cell>
          <cell r="D275" t="str">
            <v>Rä</v>
          </cell>
          <cell r="E275">
            <v>80</v>
          </cell>
          <cell r="F275">
            <v>167311.23357142857</v>
          </cell>
          <cell r="G275">
            <v>63119.520000000004</v>
          </cell>
          <cell r="H275">
            <v>0</v>
          </cell>
          <cell r="I275">
            <v>498735.7040999615</v>
          </cell>
          <cell r="J275">
            <v>39898856.327996917</v>
          </cell>
        </row>
        <row r="276">
          <cell r="C276" t="str">
            <v xml:space="preserve">§¾p ®Êt nÒn ®­êng </v>
          </cell>
          <cell r="D276" t="str">
            <v>m3</v>
          </cell>
          <cell r="E276">
            <v>1512.5</v>
          </cell>
          <cell r="F276">
            <v>5714.2857142857138</v>
          </cell>
          <cell r="G276">
            <v>6287.7246742857133</v>
          </cell>
          <cell r="H276">
            <v>16215.547368</v>
          </cell>
          <cell r="I276">
            <v>60797.097711059716</v>
          </cell>
          <cell r="J276">
            <v>91955610.287977815</v>
          </cell>
        </row>
        <row r="277">
          <cell r="C277" t="str">
            <v>Mãng cÊp phèi ®¸ d¨m lo¹i 1</v>
          </cell>
          <cell r="D277" t="str">
            <v>m3</v>
          </cell>
          <cell r="E277">
            <v>165</v>
          </cell>
          <cell r="F277">
            <v>211603.89028571427</v>
          </cell>
          <cell r="G277">
            <v>675.13600000000008</v>
          </cell>
          <cell r="H277">
            <v>7602.8820839999989</v>
          </cell>
          <cell r="I277">
            <v>256047.42392078004</v>
          </cell>
          <cell r="J277">
            <v>42247824.94692871</v>
          </cell>
        </row>
        <row r="278">
          <cell r="C278" t="str">
            <v>cÇu c©y b­ëi km402+955.62</v>
          </cell>
          <cell r="J278">
            <v>1687268738.1014953</v>
          </cell>
        </row>
        <row r="279">
          <cell r="C279" t="str">
            <v>1. DÇm BTCT th­êng L=12m</v>
          </cell>
          <cell r="J279">
            <v>271000000</v>
          </cell>
        </row>
        <row r="280">
          <cell r="C280" t="str">
            <v>DÇm BTCT th­êng L=12m</v>
          </cell>
          <cell r="D280" t="str">
            <v>DÇm</v>
          </cell>
          <cell r="E280">
            <v>5</v>
          </cell>
          <cell r="F280" t="e">
            <v>#N/A</v>
          </cell>
          <cell r="G280" t="e">
            <v>#N/A</v>
          </cell>
          <cell r="H280" t="e">
            <v>#N/A</v>
          </cell>
          <cell r="I280">
            <v>35000000</v>
          </cell>
          <cell r="J280">
            <v>175000000</v>
          </cell>
        </row>
        <row r="281">
          <cell r="C281" t="str">
            <v>Lao l¾p dÇm BTCT L=12m</v>
          </cell>
          <cell r="D281" t="str">
            <v>DÇm</v>
          </cell>
          <cell r="E281">
            <v>5</v>
          </cell>
          <cell r="F281" t="e">
            <v>#N/A</v>
          </cell>
          <cell r="G281" t="e">
            <v>#N/A</v>
          </cell>
          <cell r="H281" t="e">
            <v>#N/A</v>
          </cell>
          <cell r="I281">
            <v>15000000</v>
          </cell>
          <cell r="J281">
            <v>75000000</v>
          </cell>
        </row>
        <row r="282">
          <cell r="C282" t="str">
            <v>Mua vµ l¾p ®Æt gèi cÇu b»ng cao su</v>
          </cell>
          <cell r="D282" t="str">
            <v>Gèi</v>
          </cell>
          <cell r="E282">
            <v>10</v>
          </cell>
          <cell r="F282">
            <v>1581785.4</v>
          </cell>
          <cell r="G282">
            <v>30683.100000000002</v>
          </cell>
          <cell r="H282">
            <v>0</v>
          </cell>
          <cell r="I282">
            <v>2100000</v>
          </cell>
          <cell r="J282">
            <v>21000000</v>
          </cell>
        </row>
        <row r="283">
          <cell r="C283" t="str">
            <v>2. Líp phñ mÆt cÇu</v>
          </cell>
          <cell r="I283">
            <v>0</v>
          </cell>
          <cell r="J283">
            <v>21604765.15342696</v>
          </cell>
        </row>
        <row r="284">
          <cell r="C284" t="str">
            <v>Bª t«ng t¹o dèc M300</v>
          </cell>
          <cell r="D284" t="str">
            <v>m3</v>
          </cell>
          <cell r="E284">
            <v>9.6</v>
          </cell>
          <cell r="F284">
            <v>574369.22931885719</v>
          </cell>
          <cell r="G284">
            <v>40910.799999999996</v>
          </cell>
          <cell r="H284">
            <v>12642.59325</v>
          </cell>
          <cell r="I284">
            <v>983321.19550532626</v>
          </cell>
          <cell r="J284">
            <v>9439883.4768511318</v>
          </cell>
        </row>
        <row r="285">
          <cell r="C285" t="str">
            <v>BTN h¹t mÞn dµy 5cm</v>
          </cell>
          <cell r="D285" t="str">
            <v>m2</v>
          </cell>
          <cell r="E285">
            <v>96</v>
          </cell>
          <cell r="F285">
            <v>42468.434871299731</v>
          </cell>
          <cell r="G285">
            <v>329.74254000000002</v>
          </cell>
          <cell r="H285">
            <v>2021.9958464000001</v>
          </cell>
          <cell r="I285">
            <v>57176.14270663201</v>
          </cell>
          <cell r="J285">
            <v>5488909.6998366732</v>
          </cell>
        </row>
        <row r="286">
          <cell r="C286" t="str">
            <v>Cèt thÐp c¸c lo¹i</v>
          </cell>
          <cell r="D286" t="str">
            <v>TÊn</v>
          </cell>
          <cell r="E286">
            <v>0.96</v>
          </cell>
          <cell r="F286">
            <v>4911215.3371428577</v>
          </cell>
          <cell r="G286">
            <v>159406.01</v>
          </cell>
          <cell r="H286">
            <v>99583.053999999989</v>
          </cell>
          <cell r="I286">
            <v>6954137.4757699519</v>
          </cell>
          <cell r="J286">
            <v>6675971.9767391533</v>
          </cell>
        </row>
        <row r="287">
          <cell r="C287" t="str">
            <v>3. Lan can tay vÞn b»ng BTCT</v>
          </cell>
          <cell r="D287" t="str">
            <v>md</v>
          </cell>
          <cell r="E287">
            <v>39.6</v>
          </cell>
          <cell r="I287">
            <v>450000</v>
          </cell>
          <cell r="J287">
            <v>17820000</v>
          </cell>
        </row>
        <row r="288">
          <cell r="C288" t="str">
            <v>4. B¶n dÉn KT(300x220x20)cm</v>
          </cell>
          <cell r="D288" t="str">
            <v>b¶n</v>
          </cell>
          <cell r="E288">
            <v>8</v>
          </cell>
          <cell r="I288">
            <v>2200000</v>
          </cell>
          <cell r="J288">
            <v>17600000</v>
          </cell>
        </row>
        <row r="289">
          <cell r="C289" t="str">
            <v>5. Khe co d·n cao su</v>
          </cell>
          <cell r="D289" t="str">
            <v>md</v>
          </cell>
          <cell r="E289">
            <v>16</v>
          </cell>
          <cell r="I289">
            <v>2500000</v>
          </cell>
          <cell r="J289">
            <v>40000000</v>
          </cell>
        </row>
        <row r="290">
          <cell r="C290" t="str">
            <v>6. T­êng hé lan mÒm</v>
          </cell>
          <cell r="D290" t="str">
            <v>md</v>
          </cell>
          <cell r="E290">
            <v>40</v>
          </cell>
          <cell r="I290">
            <v>450000</v>
          </cell>
          <cell r="J290">
            <v>18000000</v>
          </cell>
        </row>
        <row r="291">
          <cell r="C291" t="str">
            <v>7. Mè cÇu</v>
          </cell>
          <cell r="D291" t="str">
            <v>TÊn</v>
          </cell>
          <cell r="E291">
            <v>28.07</v>
          </cell>
          <cell r="F291">
            <v>4932735.3371428577</v>
          </cell>
          <cell r="G291">
            <v>179831.68000000002</v>
          </cell>
          <cell r="H291">
            <v>210581.53</v>
          </cell>
          <cell r="I291">
            <v>0</v>
          </cell>
          <cell r="J291">
            <v>987945824.96535063</v>
          </cell>
        </row>
        <row r="292">
          <cell r="C292" t="str">
            <v>Bª t«ng M300</v>
          </cell>
          <cell r="D292" t="str">
            <v>m3</v>
          </cell>
          <cell r="E292">
            <v>336.57</v>
          </cell>
          <cell r="F292">
            <v>563323.6672165714</v>
          </cell>
          <cell r="G292">
            <v>83931.68</v>
          </cell>
          <cell r="H292">
            <v>50524.219980000002</v>
          </cell>
          <cell r="I292">
            <v>1211661.7359944407</v>
          </cell>
          <cell r="J292">
            <v>407808990.4836489</v>
          </cell>
        </row>
        <row r="293">
          <cell r="C293" t="str">
            <v>Bª t«ng M250</v>
          </cell>
          <cell r="D293" t="str">
            <v>m3</v>
          </cell>
          <cell r="E293">
            <v>64.44</v>
          </cell>
          <cell r="F293">
            <v>467896.36724971433</v>
          </cell>
          <cell r="G293">
            <v>44651.040000000001</v>
          </cell>
          <cell r="H293">
            <v>50524.219980000002</v>
          </cell>
          <cell r="I293">
            <v>913830.47055423819</v>
          </cell>
          <cell r="J293">
            <v>58887235.522515103</v>
          </cell>
        </row>
        <row r="294">
          <cell r="C294" t="str">
            <v>Bª t«ng lãt mãng M100 ®¸ 4x6</v>
          </cell>
          <cell r="D294" t="str">
            <v>m3</v>
          </cell>
          <cell r="E294">
            <v>9.9</v>
          </cell>
          <cell r="F294">
            <v>261846.0050055357</v>
          </cell>
          <cell r="G294">
            <v>22898.699999999997</v>
          </cell>
          <cell r="H294">
            <v>12040.565000000001</v>
          </cell>
          <cell r="I294">
            <v>476409.41943829454</v>
          </cell>
          <cell r="J294">
            <v>4716453.2524391161</v>
          </cell>
        </row>
        <row r="295">
          <cell r="C295" t="str">
            <v>Cèt thÐp c¸c lo¹i</v>
          </cell>
          <cell r="D295" t="str">
            <v>TÊn</v>
          </cell>
          <cell r="E295">
            <v>28.07</v>
          </cell>
          <cell r="F295">
            <v>4932735.3371428577</v>
          </cell>
          <cell r="G295">
            <v>179831.68000000002</v>
          </cell>
          <cell r="H295">
            <v>210581.53</v>
          </cell>
          <cell r="I295">
            <v>7224454.8297665929</v>
          </cell>
          <cell r="J295">
            <v>202790447.07154825</v>
          </cell>
        </row>
        <row r="296">
          <cell r="C296" t="str">
            <v>§¸ héc x©y tø nãn M100</v>
          </cell>
          <cell r="D296" t="str">
            <v>m3</v>
          </cell>
          <cell r="E296">
            <v>34.1</v>
          </cell>
          <cell r="F296">
            <v>278810.8254982286</v>
          </cell>
          <cell r="G296">
            <v>35358.619999999995</v>
          </cell>
          <cell r="H296">
            <v>0</v>
          </cell>
          <cell r="I296">
            <v>488783.70716064883</v>
          </cell>
          <cell r="J296">
            <v>16667524.414178126</v>
          </cell>
        </row>
        <row r="297">
          <cell r="C297" t="str">
            <v>§¸ héc x©y taluy v÷a M100</v>
          </cell>
          <cell r="D297" t="str">
            <v>m3</v>
          </cell>
          <cell r="E297">
            <v>64.5</v>
          </cell>
          <cell r="F297">
            <v>248531.96105274287</v>
          </cell>
          <cell r="G297">
            <v>31998.09</v>
          </cell>
          <cell r="H297">
            <v>0</v>
          </cell>
          <cell r="I297">
            <v>437566.59880956577</v>
          </cell>
          <cell r="J297">
            <v>28223045.62321699</v>
          </cell>
        </row>
        <row r="298">
          <cell r="C298" t="str">
            <v>§¸ héc x©y mãng, ch©n khay M100</v>
          </cell>
          <cell r="D298" t="str">
            <v>m3</v>
          </cell>
          <cell r="E298">
            <v>70.709999999999994</v>
          </cell>
          <cell r="F298">
            <v>248531.96105274287</v>
          </cell>
          <cell r="G298">
            <v>27907.01</v>
          </cell>
          <cell r="H298">
            <v>0</v>
          </cell>
          <cell r="I298">
            <v>421653.28258626495</v>
          </cell>
          <cell r="J298">
            <v>29815103.611674793</v>
          </cell>
        </row>
        <row r="299">
          <cell r="C299" t="str">
            <v xml:space="preserve">D¨m s¹n ®Öm </v>
          </cell>
          <cell r="D299" t="str">
            <v>m3</v>
          </cell>
          <cell r="E299">
            <v>44.15</v>
          </cell>
          <cell r="F299">
            <v>135855.41509523807</v>
          </cell>
          <cell r="G299">
            <v>30115.26</v>
          </cell>
          <cell r="H299">
            <v>0</v>
          </cell>
          <cell r="I299">
            <v>288292.40124649595</v>
          </cell>
          <cell r="J299">
            <v>12728109.515032796</v>
          </cell>
        </row>
        <row r="300">
          <cell r="C300" t="str">
            <v xml:space="preserve">§µo mãng ®Êt cÊp 3 </v>
          </cell>
          <cell r="D300" t="str">
            <v>m3</v>
          </cell>
          <cell r="E300">
            <v>2155.56</v>
          </cell>
          <cell r="F300">
            <v>0</v>
          </cell>
          <cell r="G300">
            <v>5890.0582800000002</v>
          </cell>
          <cell r="H300">
            <v>2404.6233119999997</v>
          </cell>
          <cell r="I300">
            <v>26458.435658106639</v>
          </cell>
          <cell r="J300">
            <v>57032745.567188345</v>
          </cell>
        </row>
        <row r="301">
          <cell r="C301" t="str">
            <v>§¾p ®Êt cÊp 3</v>
          </cell>
          <cell r="D301" t="str">
            <v>m3</v>
          </cell>
          <cell r="E301">
            <v>2357.7800000000002</v>
          </cell>
          <cell r="F301">
            <v>0</v>
          </cell>
          <cell r="G301">
            <v>9298.26</v>
          </cell>
          <cell r="H301">
            <v>0</v>
          </cell>
          <cell r="I301">
            <v>36167.992732107356</v>
          </cell>
          <cell r="J301">
            <v>85276169.903908089</v>
          </cell>
        </row>
        <row r="302">
          <cell r="C302" t="str">
            <v>Thi c«ng mè</v>
          </cell>
          <cell r="D302" t="str">
            <v>TB</v>
          </cell>
          <cell r="J302">
            <v>84000000</v>
          </cell>
        </row>
        <row r="303">
          <cell r="C303" t="str">
            <v xml:space="preserve">8. Cäc BTCT (35x35)cm </v>
          </cell>
          <cell r="D303" t="str">
            <v>md</v>
          </cell>
          <cell r="I303">
            <v>400000</v>
          </cell>
          <cell r="J303">
            <v>0</v>
          </cell>
        </row>
        <row r="304">
          <cell r="C304" t="str">
            <v>9. H¹ng môc kh¸c</v>
          </cell>
          <cell r="D304" t="str">
            <v>TB</v>
          </cell>
          <cell r="I304">
            <v>0</v>
          </cell>
          <cell r="J304">
            <v>21000000</v>
          </cell>
        </row>
        <row r="305">
          <cell r="C305" t="str">
            <v>§¾p ®Êt ®ª quai</v>
          </cell>
          <cell r="D305" t="str">
            <v>m3</v>
          </cell>
          <cell r="E305">
            <v>31.57</v>
          </cell>
          <cell r="F305">
            <v>0</v>
          </cell>
          <cell r="G305">
            <v>29528.04</v>
          </cell>
          <cell r="H305">
            <v>0</v>
          </cell>
          <cell r="I305">
            <v>137828.35964320746</v>
          </cell>
          <cell r="J305">
            <v>4351241.3139360594</v>
          </cell>
        </row>
        <row r="306">
          <cell r="C306" t="str">
            <v>M¸y b¬m n­íc</v>
          </cell>
          <cell r="D306" t="str">
            <v>Ca</v>
          </cell>
          <cell r="E306">
            <v>21</v>
          </cell>
          <cell r="F306">
            <v>0</v>
          </cell>
          <cell r="G306">
            <v>0</v>
          </cell>
          <cell r="H306">
            <v>466499</v>
          </cell>
          <cell r="I306">
            <v>625657.55711489427</v>
          </cell>
          <cell r="J306">
            <v>13138808.69941278</v>
          </cell>
        </row>
        <row r="307">
          <cell r="C307" t="str">
            <v>Mua vµ l¾p ®Æt biÓn b¸o ®­êng bé</v>
          </cell>
          <cell r="D307" t="str">
            <v>Bé</v>
          </cell>
          <cell r="E307">
            <v>4</v>
          </cell>
          <cell r="F307">
            <v>594310.03418620001</v>
          </cell>
          <cell r="G307">
            <v>9170.9856</v>
          </cell>
          <cell r="H307">
            <v>2246.2963200000004</v>
          </cell>
          <cell r="I307">
            <v>860000</v>
          </cell>
          <cell r="J307">
            <v>3440000</v>
          </cell>
        </row>
        <row r="308">
          <cell r="C308" t="str">
            <v>10. Ph¸ dì cÇu cò</v>
          </cell>
          <cell r="J308">
            <v>35379846.377317443</v>
          </cell>
        </row>
        <row r="309">
          <cell r="C309" t="str">
            <v>§Ëp bá bª t«ng cÇu cò</v>
          </cell>
          <cell r="D309" t="str">
            <v>m3</v>
          </cell>
          <cell r="E309">
            <v>38.909999999999997</v>
          </cell>
          <cell r="F309">
            <v>0</v>
          </cell>
          <cell r="G309">
            <v>68671.7</v>
          </cell>
          <cell r="H309">
            <v>0</v>
          </cell>
          <cell r="I309">
            <v>267116.37946255063</v>
          </cell>
          <cell r="J309">
            <v>10393498.324887844</v>
          </cell>
        </row>
        <row r="310">
          <cell r="C310" t="str">
            <v>§Ëp bá ®¸ héc x©y cò</v>
          </cell>
          <cell r="D310" t="str">
            <v>m3</v>
          </cell>
          <cell r="E310">
            <v>163.35</v>
          </cell>
          <cell r="F310">
            <v>0</v>
          </cell>
          <cell r="G310">
            <v>22208.720000000001</v>
          </cell>
          <cell r="H310">
            <v>0</v>
          </cell>
          <cell r="I310">
            <v>86386.573783633401</v>
          </cell>
          <cell r="J310">
            <v>14111246.827556515</v>
          </cell>
        </row>
        <row r="311">
          <cell r="C311" t="str">
            <v>Th¸o dì thÐp cÇu cò</v>
          </cell>
          <cell r="D311" t="str">
            <v>TÊn</v>
          </cell>
          <cell r="E311">
            <v>5.6519999999999992</v>
          </cell>
          <cell r="F311">
            <v>215999.99999999997</v>
          </cell>
          <cell r="G311">
            <v>218652</v>
          </cell>
          <cell r="H311">
            <v>543277.45000000007</v>
          </cell>
          <cell r="I311">
            <v>1924115.5741105948</v>
          </cell>
          <cell r="J311">
            <v>10875101.224873081</v>
          </cell>
        </row>
        <row r="312">
          <cell r="C312" t="str">
            <v>11. TuyÕn tr¸nh</v>
          </cell>
          <cell r="I312">
            <v>0</v>
          </cell>
          <cell r="J312">
            <v>256918301.60540026</v>
          </cell>
        </row>
        <row r="313">
          <cell r="C313" t="str">
            <v>DÇm I500 lµm cÇu t¹m</v>
          </cell>
          <cell r="D313" t="str">
            <v>TÊn</v>
          </cell>
          <cell r="E313">
            <v>7.5359999999999996</v>
          </cell>
          <cell r="F313">
            <v>999886.30761904758</v>
          </cell>
          <cell r="G313">
            <v>346912.49600000004</v>
          </cell>
          <cell r="H313">
            <v>446151.53</v>
          </cell>
          <cell r="I313">
            <v>3623924.8854130441</v>
          </cell>
          <cell r="J313">
            <v>27309897.936472699</v>
          </cell>
        </row>
        <row r="314">
          <cell r="C314" t="str">
            <v>L¾p dùng vµ th¸o dì cÇu t¹m</v>
          </cell>
          <cell r="D314" t="str">
            <v>TÊn</v>
          </cell>
          <cell r="E314">
            <v>7.5359999999999996</v>
          </cell>
          <cell r="F314">
            <v>278999.99999999994</v>
          </cell>
          <cell r="G314">
            <v>218652</v>
          </cell>
          <cell r="H314">
            <v>543277.45000000007</v>
          </cell>
          <cell r="I314">
            <v>2200391.9957527202</v>
          </cell>
          <cell r="J314">
            <v>16582154.079992497</v>
          </cell>
        </row>
        <row r="315">
          <cell r="C315" t="str">
            <v>L¾p ®Æt vµ th¸o dì rä ®¸</v>
          </cell>
          <cell r="D315" t="str">
            <v>Rä</v>
          </cell>
          <cell r="E315">
            <v>64</v>
          </cell>
          <cell r="F315">
            <v>167311.23357142857</v>
          </cell>
          <cell r="G315">
            <v>63119.520000000004</v>
          </cell>
          <cell r="H315">
            <v>0</v>
          </cell>
          <cell r="I315">
            <v>498735.7040999615</v>
          </cell>
          <cell r="J315">
            <v>31919085.062397536</v>
          </cell>
        </row>
        <row r="316">
          <cell r="C316" t="str">
            <v xml:space="preserve">§¾p ®Êt nÒn ®­êng </v>
          </cell>
          <cell r="D316" t="str">
            <v>m3</v>
          </cell>
          <cell r="E316">
            <v>2145</v>
          </cell>
          <cell r="F316">
            <v>5714.2857142857138</v>
          </cell>
          <cell r="G316">
            <v>6287.7246742857133</v>
          </cell>
          <cell r="H316">
            <v>16215.547368</v>
          </cell>
          <cell r="I316">
            <v>60797.097711059716</v>
          </cell>
          <cell r="J316">
            <v>130409774.59022309</v>
          </cell>
        </row>
        <row r="317">
          <cell r="C317" t="str">
            <v>Mãng cÊp phèi ®¸ d¨m lo¹i 1</v>
          </cell>
          <cell r="D317" t="str">
            <v>m3</v>
          </cell>
          <cell r="E317">
            <v>198</v>
          </cell>
          <cell r="F317">
            <v>211603.89028571427</v>
          </cell>
          <cell r="G317">
            <v>675.13600000000008</v>
          </cell>
          <cell r="H317">
            <v>7602.8820839999989</v>
          </cell>
          <cell r="I317">
            <v>256047.42392078004</v>
          </cell>
          <cell r="J317">
            <v>50697389.936314449</v>
          </cell>
        </row>
        <row r="318">
          <cell r="C318" t="str">
            <v>cÇu nghiªng km407+682.2</v>
          </cell>
          <cell r="J318">
            <v>2531392571.695261</v>
          </cell>
        </row>
        <row r="319">
          <cell r="C319" t="str">
            <v>1. DÇm BTCT D¦L L=24m</v>
          </cell>
          <cell r="J319">
            <v>528800000</v>
          </cell>
        </row>
        <row r="320">
          <cell r="C320" t="str">
            <v>DÇm BTCT D¦L L=24m</v>
          </cell>
          <cell r="D320" t="str">
            <v>DÇm</v>
          </cell>
          <cell r="E320">
            <v>4</v>
          </cell>
          <cell r="F320" t="e">
            <v>#N/A</v>
          </cell>
          <cell r="G320" t="e">
            <v>#N/A</v>
          </cell>
          <cell r="H320" t="e">
            <v>#N/A</v>
          </cell>
          <cell r="I320">
            <v>100000000</v>
          </cell>
          <cell r="J320">
            <v>400000000</v>
          </cell>
        </row>
        <row r="321">
          <cell r="C321" t="str">
            <v>Lao l¾p dÇm BTCT D¦L L=24m</v>
          </cell>
          <cell r="D321" t="str">
            <v>DÇm</v>
          </cell>
          <cell r="E321">
            <v>4</v>
          </cell>
          <cell r="F321" t="e">
            <v>#N/A</v>
          </cell>
          <cell r="G321" t="e">
            <v>#N/A</v>
          </cell>
          <cell r="H321" t="e">
            <v>#N/A</v>
          </cell>
          <cell r="I321">
            <v>28000000</v>
          </cell>
          <cell r="J321">
            <v>112000000</v>
          </cell>
        </row>
        <row r="322">
          <cell r="C322" t="str">
            <v>Mua vµ l¾p ®Æt gèi cÇu b»ng cao su</v>
          </cell>
          <cell r="D322" t="str">
            <v>Gèi</v>
          </cell>
          <cell r="E322">
            <v>8</v>
          </cell>
          <cell r="F322">
            <v>1581785.4</v>
          </cell>
          <cell r="G322">
            <v>30683.100000000002</v>
          </cell>
          <cell r="H322">
            <v>0</v>
          </cell>
          <cell r="I322">
            <v>2100000</v>
          </cell>
          <cell r="J322">
            <v>16800000</v>
          </cell>
        </row>
        <row r="323">
          <cell r="C323" t="str">
            <v>2. Líp phñ mÆt cÇu</v>
          </cell>
          <cell r="I323">
            <v>0</v>
          </cell>
          <cell r="J323">
            <v>43209530.30685392</v>
          </cell>
        </row>
        <row r="324">
          <cell r="C324" t="str">
            <v>Bª t«ng t¹o dèc M300</v>
          </cell>
          <cell r="D324" t="str">
            <v>m3</v>
          </cell>
          <cell r="E324">
            <v>19.2</v>
          </cell>
          <cell r="F324">
            <v>574369.22931885719</v>
          </cell>
          <cell r="G324">
            <v>40910.799999999996</v>
          </cell>
          <cell r="H324">
            <v>12642.59325</v>
          </cell>
          <cell r="I324">
            <v>983321.19550532626</v>
          </cell>
          <cell r="J324">
            <v>18879766.953702264</v>
          </cell>
        </row>
        <row r="325">
          <cell r="C325" t="str">
            <v>BTN h¹t mÞn dµy 5cm</v>
          </cell>
          <cell r="D325" t="str">
            <v>m2</v>
          </cell>
          <cell r="E325">
            <v>192</v>
          </cell>
          <cell r="F325">
            <v>42468.434871299731</v>
          </cell>
          <cell r="G325">
            <v>329.74254000000002</v>
          </cell>
          <cell r="H325">
            <v>2021.9958464000001</v>
          </cell>
          <cell r="I325">
            <v>57176.14270663201</v>
          </cell>
          <cell r="J325">
            <v>10977819.399673346</v>
          </cell>
        </row>
        <row r="326">
          <cell r="C326" t="str">
            <v>Cèt thÐp c¸c lo¹i</v>
          </cell>
          <cell r="D326" t="str">
            <v>TÊn</v>
          </cell>
          <cell r="E326">
            <v>1.92</v>
          </cell>
          <cell r="F326">
            <v>4911215.3371428577</v>
          </cell>
          <cell r="G326">
            <v>159406.01</v>
          </cell>
          <cell r="H326">
            <v>99583.053999999989</v>
          </cell>
          <cell r="I326">
            <v>6954137.4757699519</v>
          </cell>
          <cell r="J326">
            <v>13351943.953478307</v>
          </cell>
        </row>
        <row r="327">
          <cell r="C327" t="str">
            <v>3. Lan can tay vÞn b»ng BTCT</v>
          </cell>
          <cell r="D327" t="str">
            <v>md</v>
          </cell>
          <cell r="E327">
            <v>70.28</v>
          </cell>
          <cell r="I327">
            <v>450000</v>
          </cell>
          <cell r="J327">
            <v>31626000</v>
          </cell>
        </row>
        <row r="328">
          <cell r="C328" t="str">
            <v>4. B¶n dÉn KT(300x220x20)cm</v>
          </cell>
          <cell r="D328" t="str">
            <v>b¶n</v>
          </cell>
          <cell r="E328">
            <v>8</v>
          </cell>
          <cell r="I328">
            <v>2200000</v>
          </cell>
          <cell r="J328">
            <v>17600000</v>
          </cell>
        </row>
        <row r="329">
          <cell r="C329" t="str">
            <v>5. Khe co d·n cao su</v>
          </cell>
          <cell r="D329" t="str">
            <v>md</v>
          </cell>
          <cell r="E329">
            <v>16</v>
          </cell>
          <cell r="I329">
            <v>2500000</v>
          </cell>
          <cell r="J329">
            <v>40000000</v>
          </cell>
        </row>
        <row r="330">
          <cell r="C330" t="str">
            <v>6. T­êng hé lan mÒm</v>
          </cell>
          <cell r="D330" t="str">
            <v>md</v>
          </cell>
          <cell r="E330">
            <v>40</v>
          </cell>
          <cell r="I330">
            <v>450000</v>
          </cell>
          <cell r="J330">
            <v>18000000</v>
          </cell>
        </row>
        <row r="331">
          <cell r="C331" t="str">
            <v>7. Mè cÇu</v>
          </cell>
          <cell r="I331">
            <v>0</v>
          </cell>
          <cell r="J331">
            <v>998590960.21869349</v>
          </cell>
        </row>
        <row r="332">
          <cell r="C332" t="str">
            <v>Bª t«ng M300</v>
          </cell>
          <cell r="D332" t="str">
            <v>m3</v>
          </cell>
          <cell r="E332">
            <v>315.36</v>
          </cell>
          <cell r="F332">
            <v>563323.6672165714</v>
          </cell>
          <cell r="G332">
            <v>83931.68</v>
          </cell>
          <cell r="H332">
            <v>50524.219980000002</v>
          </cell>
          <cell r="I332">
            <v>1211661.7359944407</v>
          </cell>
          <cell r="J332">
            <v>382109645.06320685</v>
          </cell>
        </row>
        <row r="333">
          <cell r="C333" t="str">
            <v>Bª t«ng M250</v>
          </cell>
          <cell r="D333" t="str">
            <v>m3</v>
          </cell>
          <cell r="E333">
            <v>58.78</v>
          </cell>
          <cell r="F333">
            <v>467896.36724971433</v>
          </cell>
          <cell r="G333">
            <v>44651.040000000001</v>
          </cell>
          <cell r="H333">
            <v>50524.219980000002</v>
          </cell>
          <cell r="I333">
            <v>913830.47055423819</v>
          </cell>
          <cell r="J333">
            <v>53714955.059178121</v>
          </cell>
        </row>
        <row r="334">
          <cell r="C334" t="str">
            <v>Bª t«ng lãt mãng M100 ®¸ 4x6</v>
          </cell>
          <cell r="D334" t="str">
            <v>m3</v>
          </cell>
          <cell r="E334">
            <v>7.2</v>
          </cell>
          <cell r="F334">
            <v>261846.0050055357</v>
          </cell>
          <cell r="G334">
            <v>22898.699999999997</v>
          </cell>
          <cell r="H334">
            <v>12040.565000000001</v>
          </cell>
          <cell r="I334">
            <v>476409.41943829454</v>
          </cell>
          <cell r="J334">
            <v>3430147.8199557206</v>
          </cell>
        </row>
        <row r="335">
          <cell r="C335" t="str">
            <v>Cèt thÐp c¸c lo¹i</v>
          </cell>
          <cell r="D335" t="str">
            <v>TÊn</v>
          </cell>
          <cell r="E335">
            <v>26.189</v>
          </cell>
          <cell r="F335">
            <v>4932735.3371428577</v>
          </cell>
          <cell r="G335">
            <v>179831.68000000002</v>
          </cell>
          <cell r="H335">
            <v>210581.53</v>
          </cell>
          <cell r="I335">
            <v>7224454.8297665929</v>
          </cell>
          <cell r="J335">
            <v>189201247.53675729</v>
          </cell>
        </row>
        <row r="336">
          <cell r="C336" t="str">
            <v>§¸ héc x©y tø nãn M100</v>
          </cell>
          <cell r="D336" t="str">
            <v>m3</v>
          </cell>
          <cell r="E336">
            <v>71.44</v>
          </cell>
          <cell r="F336">
            <v>278810.8254982286</v>
          </cell>
          <cell r="G336">
            <v>35358.619999999995</v>
          </cell>
          <cell r="H336">
            <v>0</v>
          </cell>
          <cell r="I336">
            <v>488783.70716064883</v>
          </cell>
          <cell r="J336">
            <v>34918708.039556749</v>
          </cell>
        </row>
        <row r="337">
          <cell r="C337" t="str">
            <v>§¸ héc x©y taluy v÷a M100</v>
          </cell>
          <cell r="D337" t="str">
            <v>m3</v>
          </cell>
          <cell r="E337">
            <v>80</v>
          </cell>
          <cell r="F337">
            <v>248531.96105274287</v>
          </cell>
          <cell r="G337">
            <v>31998.09</v>
          </cell>
          <cell r="H337">
            <v>0</v>
          </cell>
          <cell r="I337">
            <v>437566.59880956577</v>
          </cell>
          <cell r="J337">
            <v>35005327.904765263</v>
          </cell>
        </row>
        <row r="338">
          <cell r="C338" t="str">
            <v>§¸ héc x©y mãng, ch©n khay M100</v>
          </cell>
          <cell r="D338" t="str">
            <v>m3</v>
          </cell>
          <cell r="E338">
            <v>61.79</v>
          </cell>
          <cell r="F338">
            <v>248531.96105274287</v>
          </cell>
          <cell r="G338">
            <v>27907.01</v>
          </cell>
          <cell r="H338">
            <v>0</v>
          </cell>
          <cell r="I338">
            <v>421653.28258626495</v>
          </cell>
          <cell r="J338">
            <v>26053956.331005313</v>
          </cell>
        </row>
        <row r="339">
          <cell r="C339" t="str">
            <v xml:space="preserve">D¨m s¹n ®Öm </v>
          </cell>
          <cell r="D339" t="str">
            <v>m3</v>
          </cell>
          <cell r="E339">
            <v>64.69</v>
          </cell>
          <cell r="F339">
            <v>135855.41509523807</v>
          </cell>
          <cell r="G339">
            <v>30115.26</v>
          </cell>
          <cell r="H339">
            <v>0</v>
          </cell>
          <cell r="I339">
            <v>288292.40124649595</v>
          </cell>
          <cell r="J339">
            <v>18649635.436635822</v>
          </cell>
        </row>
        <row r="340">
          <cell r="C340" t="str">
            <v xml:space="preserve">§µo mãng ®Êt cÊp 3 </v>
          </cell>
          <cell r="D340" t="str">
            <v>m3</v>
          </cell>
          <cell r="E340">
            <v>3357.19</v>
          </cell>
          <cell r="F340">
            <v>0</v>
          </cell>
          <cell r="G340">
            <v>5890.0582800000002</v>
          </cell>
          <cell r="H340">
            <v>2404.6233119999997</v>
          </cell>
          <cell r="I340">
            <v>26458.435658106639</v>
          </cell>
          <cell r="J340">
            <v>88825995.607039034</v>
          </cell>
        </row>
        <row r="341">
          <cell r="C341" t="str">
            <v>§¾p ®Êt cÊp 3</v>
          </cell>
          <cell r="D341" t="str">
            <v>m3</v>
          </cell>
          <cell r="E341">
            <v>2424.2800000000002</v>
          </cell>
          <cell r="F341">
            <v>0</v>
          </cell>
          <cell r="G341">
            <v>9298.26</v>
          </cell>
          <cell r="H341">
            <v>0</v>
          </cell>
          <cell r="I341">
            <v>36167.992732107356</v>
          </cell>
          <cell r="J341">
            <v>87681341.420593232</v>
          </cell>
        </row>
        <row r="342">
          <cell r="C342" t="str">
            <v>Thi c«ng mè</v>
          </cell>
          <cell r="D342" t="str">
            <v>TB</v>
          </cell>
          <cell r="J342">
            <v>79000000</v>
          </cell>
        </row>
        <row r="343">
          <cell r="C343" t="str">
            <v xml:space="preserve">8. Cäc BTCT (35x35)cm </v>
          </cell>
          <cell r="D343" t="str">
            <v>md</v>
          </cell>
          <cell r="E343">
            <v>704</v>
          </cell>
          <cell r="I343">
            <v>400000</v>
          </cell>
          <cell r="J343">
            <v>281600000</v>
          </cell>
        </row>
        <row r="344">
          <cell r="C344" t="str">
            <v>9. H¹ng môc kh¸c</v>
          </cell>
          <cell r="D344" t="str">
            <v>TB</v>
          </cell>
          <cell r="I344">
            <v>0</v>
          </cell>
          <cell r="J344">
            <v>56000000</v>
          </cell>
        </row>
        <row r="345">
          <cell r="C345" t="str">
            <v>§¾p ®Êt ®ª quai</v>
          </cell>
          <cell r="D345" t="str">
            <v>m3</v>
          </cell>
          <cell r="E345">
            <v>145</v>
          </cell>
          <cell r="F345">
            <v>0</v>
          </cell>
          <cell r="G345">
            <v>29528.04</v>
          </cell>
          <cell r="H345">
            <v>0</v>
          </cell>
          <cell r="I345">
            <v>137828.35964320746</v>
          </cell>
          <cell r="J345">
            <v>19985112.148265082</v>
          </cell>
        </row>
        <row r="346">
          <cell r="C346" t="str">
            <v>M¸y b¬m n­íc</v>
          </cell>
          <cell r="D346" t="str">
            <v>Ca</v>
          </cell>
          <cell r="E346">
            <v>52</v>
          </cell>
          <cell r="F346">
            <v>0</v>
          </cell>
          <cell r="G346">
            <v>0</v>
          </cell>
          <cell r="H346">
            <v>466499</v>
          </cell>
          <cell r="I346">
            <v>625657.55711489427</v>
          </cell>
          <cell r="J346">
            <v>32534192.969974503</v>
          </cell>
        </row>
        <row r="347">
          <cell r="C347" t="str">
            <v>Mua vµ l¾p ®Æt biÓn b¸o ®­êng bé</v>
          </cell>
          <cell r="D347" t="str">
            <v>Bé</v>
          </cell>
          <cell r="E347">
            <v>4</v>
          </cell>
          <cell r="F347">
            <v>594310.03418620001</v>
          </cell>
          <cell r="G347">
            <v>9170.9856</v>
          </cell>
          <cell r="H347">
            <v>2246.2963200000004</v>
          </cell>
          <cell r="I347">
            <v>860000</v>
          </cell>
          <cell r="J347">
            <v>3440000</v>
          </cell>
        </row>
        <row r="348">
          <cell r="C348" t="str">
            <v>10. Ph¸ dì cÇu cò</v>
          </cell>
          <cell r="J348">
            <v>42648581.675656386</v>
          </cell>
        </row>
        <row r="349">
          <cell r="C349" t="str">
            <v>§Ëp bá bª t«ng cÇu cò</v>
          </cell>
          <cell r="D349" t="str">
            <v>m3</v>
          </cell>
          <cell r="E349">
            <v>47.85</v>
          </cell>
          <cell r="F349">
            <v>0</v>
          </cell>
          <cell r="G349">
            <v>68671.7</v>
          </cell>
          <cell r="H349">
            <v>0</v>
          </cell>
          <cell r="I349">
            <v>267116.37946255063</v>
          </cell>
          <cell r="J349">
            <v>12781518.757283049</v>
          </cell>
        </row>
        <row r="350">
          <cell r="C350" t="str">
            <v>§Ëp bá ®¸ héc x©y cò</v>
          </cell>
          <cell r="D350" t="str">
            <v>m3</v>
          </cell>
          <cell r="E350">
            <v>240.83</v>
          </cell>
          <cell r="F350">
            <v>0</v>
          </cell>
          <cell r="G350">
            <v>22208.720000000001</v>
          </cell>
          <cell r="H350">
            <v>0</v>
          </cell>
          <cell r="I350">
            <v>86386.573783633401</v>
          </cell>
          <cell r="J350">
            <v>20804478.564312432</v>
          </cell>
        </row>
        <row r="351">
          <cell r="C351" t="str">
            <v>Th¸o dì thÐp cÇu cò</v>
          </cell>
          <cell r="D351" t="str">
            <v>TÊn</v>
          </cell>
          <cell r="E351">
            <v>4.71</v>
          </cell>
          <cell r="F351">
            <v>215999.99999999997</v>
          </cell>
          <cell r="G351">
            <v>218652</v>
          </cell>
          <cell r="H351">
            <v>543277.45000000007</v>
          </cell>
          <cell r="I351">
            <v>1924115.5741105948</v>
          </cell>
          <cell r="J351">
            <v>9062584.3540609013</v>
          </cell>
        </row>
        <row r="352">
          <cell r="C352" t="str">
            <v>11. TuyÕn tr¸nh</v>
          </cell>
          <cell r="I352">
            <v>0</v>
          </cell>
          <cell r="J352">
            <v>473317499.49405706</v>
          </cell>
        </row>
        <row r="353">
          <cell r="C353" t="str">
            <v>DÇm I500 lµm cÇu t¹m</v>
          </cell>
          <cell r="D353" t="str">
            <v>TÊn</v>
          </cell>
          <cell r="E353">
            <v>15.071999999999999</v>
          </cell>
          <cell r="F353">
            <v>999886.30761904758</v>
          </cell>
          <cell r="G353">
            <v>346912.49600000004</v>
          </cell>
          <cell r="H353">
            <v>446151.53</v>
          </cell>
          <cell r="I353">
            <v>3623924.8854130441</v>
          </cell>
          <cell r="J353">
            <v>54619795.872945398</v>
          </cell>
        </row>
        <row r="354">
          <cell r="C354" t="str">
            <v>L¾p dùng vµ th¸o dì cÇu t¹m</v>
          </cell>
          <cell r="D354" t="str">
            <v>TÊn</v>
          </cell>
          <cell r="E354">
            <v>15.071999999999999</v>
          </cell>
          <cell r="F354">
            <v>278999.99999999994</v>
          </cell>
          <cell r="G354">
            <v>218652</v>
          </cell>
          <cell r="H354">
            <v>543277.45000000007</v>
          </cell>
          <cell r="I354">
            <v>2200391.9957527202</v>
          </cell>
          <cell r="J354">
            <v>33164308.159984995</v>
          </cell>
        </row>
        <row r="355">
          <cell r="C355" t="str">
            <v>L¾p ®Æt vµ th¸o dì rä ®¸</v>
          </cell>
          <cell r="D355" t="str">
            <v>Rä</v>
          </cell>
          <cell r="E355">
            <v>210</v>
          </cell>
          <cell r="F355">
            <v>167311.23357142857</v>
          </cell>
          <cell r="G355">
            <v>63119.520000000004</v>
          </cell>
          <cell r="H355">
            <v>0</v>
          </cell>
          <cell r="I355">
            <v>498735.7040999615</v>
          </cell>
          <cell r="J355">
            <v>104734497.86099191</v>
          </cell>
        </row>
        <row r="356">
          <cell r="C356" t="str">
            <v xml:space="preserve">§¾p ®Êt nÒn ®­êng </v>
          </cell>
          <cell r="D356" t="str">
            <v>m3</v>
          </cell>
          <cell r="E356">
            <v>3750</v>
          </cell>
          <cell r="F356">
            <v>5714.2857142857138</v>
          </cell>
          <cell r="G356">
            <v>6287.7246742857133</v>
          </cell>
          <cell r="H356">
            <v>16215.547368</v>
          </cell>
          <cell r="I356">
            <v>60797.097711059716</v>
          </cell>
          <cell r="J356">
            <v>227989116.41647393</v>
          </cell>
        </row>
        <row r="357">
          <cell r="C357" t="str">
            <v>Mãng cÊp phèi ®¸ d¨m lo¹i 1</v>
          </cell>
          <cell r="D357" t="str">
            <v>m3</v>
          </cell>
          <cell r="E357">
            <v>206.25</v>
          </cell>
          <cell r="F357">
            <v>211603.89028571427</v>
          </cell>
          <cell r="G357">
            <v>675.13600000000008</v>
          </cell>
          <cell r="H357">
            <v>7602.8820839999989</v>
          </cell>
          <cell r="I357">
            <v>256047.42392078004</v>
          </cell>
          <cell r="J357">
            <v>52809781.183660887</v>
          </cell>
        </row>
        <row r="358">
          <cell r="C358" t="str">
            <v>cÇu s¾t km408+395.13</v>
          </cell>
          <cell r="J358">
            <v>2211272101.7826304</v>
          </cell>
        </row>
        <row r="359">
          <cell r="C359" t="str">
            <v>1. DÇm BTCT D¦L L=24m</v>
          </cell>
          <cell r="J359">
            <v>528800000</v>
          </cell>
        </row>
        <row r="360">
          <cell r="C360" t="str">
            <v>DÇm BTCT D¦L L=24m</v>
          </cell>
          <cell r="D360" t="str">
            <v>DÇm</v>
          </cell>
          <cell r="E360">
            <v>4</v>
          </cell>
          <cell r="F360" t="e">
            <v>#N/A</v>
          </cell>
          <cell r="G360" t="e">
            <v>#N/A</v>
          </cell>
          <cell r="H360" t="e">
            <v>#N/A</v>
          </cell>
          <cell r="I360">
            <v>100000000</v>
          </cell>
          <cell r="J360">
            <v>400000000</v>
          </cell>
        </row>
        <row r="361">
          <cell r="C361" t="str">
            <v>Lao l¾p dÇm BTCT D¦L L=24m</v>
          </cell>
          <cell r="D361" t="str">
            <v>DÇm</v>
          </cell>
          <cell r="E361">
            <v>4</v>
          </cell>
          <cell r="F361" t="e">
            <v>#N/A</v>
          </cell>
          <cell r="G361" t="e">
            <v>#N/A</v>
          </cell>
          <cell r="H361" t="e">
            <v>#N/A</v>
          </cell>
          <cell r="I361">
            <v>28000000</v>
          </cell>
          <cell r="J361">
            <v>112000000</v>
          </cell>
        </row>
        <row r="362">
          <cell r="C362" t="str">
            <v>Mua vµ l¾p ®Æt gèi cÇu b»ng cao su</v>
          </cell>
          <cell r="D362" t="str">
            <v>Gèi</v>
          </cell>
          <cell r="E362">
            <v>8</v>
          </cell>
          <cell r="F362">
            <v>1581785.4</v>
          </cell>
          <cell r="G362">
            <v>30683.100000000002</v>
          </cell>
          <cell r="H362">
            <v>0</v>
          </cell>
          <cell r="I362">
            <v>2100000</v>
          </cell>
          <cell r="J362">
            <v>16800000</v>
          </cell>
        </row>
        <row r="363">
          <cell r="C363" t="str">
            <v>2. Líp phñ mÆt cÇu</v>
          </cell>
          <cell r="I363">
            <v>0</v>
          </cell>
          <cell r="J363">
            <v>43209530.30685392</v>
          </cell>
        </row>
        <row r="364">
          <cell r="C364" t="str">
            <v>Bª t«ng t¹o dèc M300</v>
          </cell>
          <cell r="D364" t="str">
            <v>m3</v>
          </cell>
          <cell r="E364">
            <v>19.2</v>
          </cell>
          <cell r="F364">
            <v>574369.22931885719</v>
          </cell>
          <cell r="G364">
            <v>40910.799999999996</v>
          </cell>
          <cell r="H364">
            <v>12642.59325</v>
          </cell>
          <cell r="I364">
            <v>983321.19550532626</v>
          </cell>
          <cell r="J364">
            <v>18879766.953702264</v>
          </cell>
        </row>
        <row r="365">
          <cell r="C365" t="str">
            <v>BTN h¹t mÞn dµy 5cm</v>
          </cell>
          <cell r="D365" t="str">
            <v>m2</v>
          </cell>
          <cell r="E365">
            <v>192</v>
          </cell>
          <cell r="F365">
            <v>42468.434871299731</v>
          </cell>
          <cell r="G365">
            <v>329.74254000000002</v>
          </cell>
          <cell r="H365">
            <v>2021.9958464000001</v>
          </cell>
          <cell r="I365">
            <v>57176.14270663201</v>
          </cell>
          <cell r="J365">
            <v>10977819.399673346</v>
          </cell>
        </row>
        <row r="366">
          <cell r="C366" t="str">
            <v>Cèt thÐp c¸c lo¹i</v>
          </cell>
          <cell r="D366" t="str">
            <v>TÊn</v>
          </cell>
          <cell r="E366">
            <v>1.92</v>
          </cell>
          <cell r="F366">
            <v>4911215.3371428577</v>
          </cell>
          <cell r="G366">
            <v>159406.01</v>
          </cell>
          <cell r="H366">
            <v>99583.053999999989</v>
          </cell>
          <cell r="I366">
            <v>6954137.4757699519</v>
          </cell>
          <cell r="J366">
            <v>13351943.953478307</v>
          </cell>
        </row>
        <row r="367">
          <cell r="C367" t="str">
            <v>3. Lan can tay vÞn b»ng BTCT</v>
          </cell>
          <cell r="D367" t="str">
            <v>md</v>
          </cell>
          <cell r="E367">
            <v>67.08</v>
          </cell>
          <cell r="I367">
            <v>450000</v>
          </cell>
          <cell r="J367">
            <v>30186000</v>
          </cell>
        </row>
        <row r="368">
          <cell r="C368" t="str">
            <v>4. B¶n dÉn KT(300x220x20)cm</v>
          </cell>
          <cell r="D368" t="str">
            <v>b¶n</v>
          </cell>
          <cell r="E368">
            <v>8</v>
          </cell>
          <cell r="I368">
            <v>2200000</v>
          </cell>
          <cell r="J368">
            <v>17600000</v>
          </cell>
        </row>
        <row r="369">
          <cell r="C369" t="str">
            <v>5. Khe co d·n cao su</v>
          </cell>
          <cell r="D369" t="str">
            <v>md</v>
          </cell>
          <cell r="E369">
            <v>16</v>
          </cell>
          <cell r="I369">
            <v>2500000</v>
          </cell>
          <cell r="J369">
            <v>40000000</v>
          </cell>
        </row>
        <row r="370">
          <cell r="C370" t="str">
            <v>6. T­êng hé lan mÒm</v>
          </cell>
          <cell r="D370" t="str">
            <v>md</v>
          </cell>
          <cell r="E370">
            <v>40</v>
          </cell>
          <cell r="I370">
            <v>450000</v>
          </cell>
          <cell r="J370">
            <v>18000000</v>
          </cell>
        </row>
        <row r="371">
          <cell r="C371" t="str">
            <v>7. Mè cÇu</v>
          </cell>
          <cell r="I371">
            <v>0</v>
          </cell>
          <cell r="J371">
            <v>755522391.79937518</v>
          </cell>
        </row>
        <row r="372">
          <cell r="C372" t="str">
            <v>Bª t«ng M300</v>
          </cell>
          <cell r="D372" t="str">
            <v>m3</v>
          </cell>
          <cell r="E372">
            <v>228.56</v>
          </cell>
          <cell r="F372">
            <v>563323.6672165714</v>
          </cell>
          <cell r="G372">
            <v>83931.68</v>
          </cell>
          <cell r="H372">
            <v>50524.219980000002</v>
          </cell>
          <cell r="I372">
            <v>1211661.7359944407</v>
          </cell>
          <cell r="J372">
            <v>276937406.37888938</v>
          </cell>
        </row>
        <row r="373">
          <cell r="C373" t="str">
            <v>Bª t«ng M250</v>
          </cell>
          <cell r="D373" t="str">
            <v>m3</v>
          </cell>
          <cell r="E373">
            <v>52.61</v>
          </cell>
          <cell r="F373">
            <v>467896.36724971433</v>
          </cell>
          <cell r="G373">
            <v>44651.040000000001</v>
          </cell>
          <cell r="H373">
            <v>50524.219980000002</v>
          </cell>
          <cell r="I373">
            <v>913830.47055423819</v>
          </cell>
          <cell r="J373">
            <v>48076621.05585847</v>
          </cell>
        </row>
        <row r="374">
          <cell r="C374" t="str">
            <v>Bª t«ng lãt mãng M100 ®¸ 4x6</v>
          </cell>
          <cell r="D374" t="str">
            <v>m3</v>
          </cell>
          <cell r="E374">
            <v>7.2</v>
          </cell>
          <cell r="F374">
            <v>261846.0050055357</v>
          </cell>
          <cell r="G374">
            <v>22898.699999999997</v>
          </cell>
          <cell r="H374">
            <v>12040.565000000001</v>
          </cell>
          <cell r="I374">
            <v>476409.41943829454</v>
          </cell>
          <cell r="J374">
            <v>3430147.8199557206</v>
          </cell>
        </row>
        <row r="375">
          <cell r="C375" t="str">
            <v>Cèt thÐp c¸c lo¹i</v>
          </cell>
          <cell r="D375" t="str">
            <v>TÊn</v>
          </cell>
          <cell r="E375">
            <v>19.681999999999999</v>
          </cell>
          <cell r="F375">
            <v>4932735.3371428577</v>
          </cell>
          <cell r="G375">
            <v>179831.68000000002</v>
          </cell>
          <cell r="H375">
            <v>210581.53</v>
          </cell>
          <cell r="I375">
            <v>7224454.8297665929</v>
          </cell>
          <cell r="J375">
            <v>142191719.95946607</v>
          </cell>
        </row>
        <row r="376">
          <cell r="C376" t="str">
            <v>§¸ héc x©y tø nãn M100</v>
          </cell>
          <cell r="D376" t="str">
            <v>m3</v>
          </cell>
          <cell r="E376">
            <v>61.23</v>
          </cell>
          <cell r="F376">
            <v>278810.8254982286</v>
          </cell>
          <cell r="G376">
            <v>35358.619999999995</v>
          </cell>
          <cell r="H376">
            <v>0</v>
          </cell>
          <cell r="I376">
            <v>488783.70716064883</v>
          </cell>
          <cell r="J376">
            <v>29928226.389446527</v>
          </cell>
        </row>
        <row r="377">
          <cell r="C377" t="str">
            <v>§¸ héc x©y taluy v÷a M100</v>
          </cell>
          <cell r="D377" t="str">
            <v>m3</v>
          </cell>
          <cell r="E377">
            <v>80</v>
          </cell>
          <cell r="F377">
            <v>248531.96105274287</v>
          </cell>
          <cell r="G377">
            <v>31998.09</v>
          </cell>
          <cell r="H377">
            <v>0</v>
          </cell>
          <cell r="I377">
            <v>437566.59880956577</v>
          </cell>
          <cell r="J377">
            <v>35005327.904765263</v>
          </cell>
        </row>
        <row r="378">
          <cell r="C378" t="str">
            <v>§¸ héc x©y mãng, ch©n khay M100</v>
          </cell>
          <cell r="D378" t="str">
            <v>m3</v>
          </cell>
          <cell r="E378">
            <v>56.14</v>
          </cell>
          <cell r="F378">
            <v>248531.96105274287</v>
          </cell>
          <cell r="G378">
            <v>27907.01</v>
          </cell>
          <cell r="H378">
            <v>0</v>
          </cell>
          <cell r="I378">
            <v>421653.28258626495</v>
          </cell>
          <cell r="J378">
            <v>23671615.284392916</v>
          </cell>
        </row>
        <row r="379">
          <cell r="C379" t="str">
            <v xml:space="preserve">D¨m s¹n ®Öm </v>
          </cell>
          <cell r="D379" t="str">
            <v>m3</v>
          </cell>
          <cell r="E379">
            <v>60.23</v>
          </cell>
          <cell r="F379">
            <v>135855.41509523807</v>
          </cell>
          <cell r="G379">
            <v>30115.26</v>
          </cell>
          <cell r="H379">
            <v>0</v>
          </cell>
          <cell r="I379">
            <v>288292.40124649595</v>
          </cell>
          <cell r="J379">
            <v>17363851.32707645</v>
          </cell>
        </row>
        <row r="380">
          <cell r="C380" t="str">
            <v xml:space="preserve">§µo mãng ®Êt cÊp 3 </v>
          </cell>
          <cell r="D380" t="str">
            <v>m3</v>
          </cell>
          <cell r="E380">
            <v>2006.32</v>
          </cell>
          <cell r="F380">
            <v>0</v>
          </cell>
          <cell r="G380">
            <v>5890.0582800000002</v>
          </cell>
          <cell r="H380">
            <v>2404.6233119999997</v>
          </cell>
          <cell r="I380">
            <v>26458.435658106639</v>
          </cell>
          <cell r="J380">
            <v>53084088.629572511</v>
          </cell>
        </row>
        <row r="381">
          <cell r="C381" t="str">
            <v>§¾p ®Êt cÊp 3</v>
          </cell>
          <cell r="D381" t="str">
            <v>m3</v>
          </cell>
          <cell r="E381">
            <v>1847.86</v>
          </cell>
          <cell r="F381">
            <v>0</v>
          </cell>
          <cell r="G381">
            <v>9298.26</v>
          </cell>
          <cell r="H381">
            <v>0</v>
          </cell>
          <cell r="I381">
            <v>36167.992732107356</v>
          </cell>
          <cell r="J381">
            <v>66833387.049951896</v>
          </cell>
        </row>
        <row r="382">
          <cell r="C382" t="str">
            <v>Thi c«ng mè</v>
          </cell>
          <cell r="D382" t="str">
            <v>TB</v>
          </cell>
          <cell r="J382">
            <v>59000000</v>
          </cell>
        </row>
        <row r="383">
          <cell r="C383" t="str">
            <v xml:space="preserve">8. Cäc BTCT (35x35)cm </v>
          </cell>
          <cell r="D383" t="str">
            <v>md</v>
          </cell>
          <cell r="E383">
            <v>704</v>
          </cell>
          <cell r="I383">
            <v>400000</v>
          </cell>
          <cell r="J383">
            <v>281600000</v>
          </cell>
        </row>
        <row r="384">
          <cell r="C384" t="str">
            <v>9. H¹ng môc kh¸c</v>
          </cell>
          <cell r="D384" t="str">
            <v>TB</v>
          </cell>
          <cell r="I384">
            <v>0</v>
          </cell>
          <cell r="J384">
            <v>43000000</v>
          </cell>
        </row>
        <row r="385">
          <cell r="C385" t="str">
            <v>§¾p ®Êt ®ª quai</v>
          </cell>
          <cell r="D385" t="str">
            <v>m3</v>
          </cell>
          <cell r="E385">
            <v>150</v>
          </cell>
          <cell r="F385">
            <v>0</v>
          </cell>
          <cell r="G385">
            <v>29528.04</v>
          </cell>
          <cell r="H385">
            <v>0</v>
          </cell>
          <cell r="I385">
            <v>137828.35964320746</v>
          </cell>
          <cell r="J385">
            <v>20674253.94648112</v>
          </cell>
        </row>
        <row r="386">
          <cell r="C386" t="str">
            <v>M¸y b¬m n­íc</v>
          </cell>
          <cell r="D386" t="str">
            <v>Ca</v>
          </cell>
          <cell r="E386">
            <v>30</v>
          </cell>
          <cell r="F386">
            <v>0</v>
          </cell>
          <cell r="G386">
            <v>0</v>
          </cell>
          <cell r="H386">
            <v>466499</v>
          </cell>
          <cell r="I386">
            <v>625657.55711489427</v>
          </cell>
          <cell r="J386">
            <v>18769726.713446829</v>
          </cell>
        </row>
        <row r="387">
          <cell r="C387" t="str">
            <v>Mua vµ l¾p ®Æt biÓn b¸o ®­êng bé</v>
          </cell>
          <cell r="D387" t="str">
            <v>Bé</v>
          </cell>
          <cell r="E387">
            <v>4</v>
          </cell>
          <cell r="F387">
            <v>594310.03418620001</v>
          </cell>
          <cell r="G387">
            <v>9170.9856</v>
          </cell>
          <cell r="H387">
            <v>2246.2963200000004</v>
          </cell>
          <cell r="I387">
            <v>860000</v>
          </cell>
          <cell r="J387">
            <v>3440000</v>
          </cell>
        </row>
        <row r="388">
          <cell r="C388" t="str">
            <v>10. Ph¸ dì cÇu cò</v>
          </cell>
          <cell r="J388">
            <v>18627330.056326333</v>
          </cell>
        </row>
        <row r="389">
          <cell r="C389" t="str">
            <v>§Ëp bá bª t«ng cÇu cò</v>
          </cell>
          <cell r="D389" t="str">
            <v>m3</v>
          </cell>
          <cell r="E389">
            <v>20.29</v>
          </cell>
          <cell r="F389">
            <v>0</v>
          </cell>
          <cell r="G389">
            <v>68671.7</v>
          </cell>
          <cell r="H389">
            <v>0</v>
          </cell>
          <cell r="I389">
            <v>267116.37946255063</v>
          </cell>
          <cell r="J389">
            <v>5419791.3392951516</v>
          </cell>
        </row>
        <row r="390">
          <cell r="C390" t="str">
            <v>§Ëp bá ®¸ héc x©y cò</v>
          </cell>
          <cell r="D390" t="str">
            <v>m3</v>
          </cell>
          <cell r="E390">
            <v>27</v>
          </cell>
          <cell r="F390">
            <v>0</v>
          </cell>
          <cell r="G390">
            <v>22208.720000000001</v>
          </cell>
          <cell r="H390">
            <v>0</v>
          </cell>
          <cell r="I390">
            <v>86386.573783633401</v>
          </cell>
          <cell r="J390">
            <v>2332437.4921581019</v>
          </cell>
        </row>
        <row r="391">
          <cell r="C391" t="str">
            <v>Th¸o dì thÐp cÇu cò</v>
          </cell>
          <cell r="D391" t="str">
            <v>TÊn</v>
          </cell>
          <cell r="E391">
            <v>5.6519999999999992</v>
          </cell>
          <cell r="F391">
            <v>215999.99999999997</v>
          </cell>
          <cell r="G391">
            <v>218652</v>
          </cell>
          <cell r="H391">
            <v>543277.45000000007</v>
          </cell>
          <cell r="I391">
            <v>1924115.5741105948</v>
          </cell>
          <cell r="J391">
            <v>10875101.224873081</v>
          </cell>
        </row>
        <row r="392">
          <cell r="C392" t="str">
            <v>11. TuyÕn tr¸nh</v>
          </cell>
          <cell r="I392">
            <v>0</v>
          </cell>
          <cell r="J392">
            <v>434726849.62007487</v>
          </cell>
        </row>
        <row r="393">
          <cell r="C393" t="str">
            <v>DÇm I500 lµm cÇu t¹m</v>
          </cell>
          <cell r="D393" t="str">
            <v>TÊn</v>
          </cell>
          <cell r="E393">
            <v>15.071999999999999</v>
          </cell>
          <cell r="F393">
            <v>999886.30761904758</v>
          </cell>
          <cell r="G393">
            <v>346912.49600000004</v>
          </cell>
          <cell r="H393">
            <v>446151.53</v>
          </cell>
          <cell r="I393">
            <v>3623924.8854130441</v>
          </cell>
          <cell r="J393">
            <v>54619795.872945398</v>
          </cell>
        </row>
        <row r="394">
          <cell r="C394" t="str">
            <v>L¾p dùng vµ th¸o dì cÇu t¹m</v>
          </cell>
          <cell r="D394" t="str">
            <v>TÊn</v>
          </cell>
          <cell r="E394">
            <v>15.071999999999999</v>
          </cell>
          <cell r="F394">
            <v>278999.99999999994</v>
          </cell>
          <cell r="G394">
            <v>218652</v>
          </cell>
          <cell r="H394">
            <v>543277.45000000007</v>
          </cell>
          <cell r="I394">
            <v>2200391.9957527202</v>
          </cell>
          <cell r="J394">
            <v>33164308.159984995</v>
          </cell>
        </row>
        <row r="395">
          <cell r="C395" t="str">
            <v>L¾p ®Æt vµ th¸o dì rä ®¸</v>
          </cell>
          <cell r="D395" t="str">
            <v>Rä</v>
          </cell>
          <cell r="E395">
            <v>210</v>
          </cell>
          <cell r="F395">
            <v>167311.23357142857</v>
          </cell>
          <cell r="G395">
            <v>63119.520000000004</v>
          </cell>
          <cell r="H395">
            <v>0</v>
          </cell>
          <cell r="I395">
            <v>498735.7040999615</v>
          </cell>
          <cell r="J395">
            <v>104734497.86099191</v>
          </cell>
        </row>
        <row r="396">
          <cell r="C396" t="str">
            <v xml:space="preserve">§¾p ®Êt nÒn ®­êng </v>
          </cell>
          <cell r="D396" t="str">
            <v>m3</v>
          </cell>
          <cell r="E396">
            <v>3150</v>
          </cell>
          <cell r="F396">
            <v>5714.2857142857138</v>
          </cell>
          <cell r="G396">
            <v>6287.7246742857133</v>
          </cell>
          <cell r="H396">
            <v>16215.547368</v>
          </cell>
          <cell r="I396">
            <v>60797.097711059716</v>
          </cell>
          <cell r="J396">
            <v>191510857.78983811</v>
          </cell>
        </row>
        <row r="397">
          <cell r="C397" t="str">
            <v>Mãng cÊp phèi ®¸ d¨m lo¹i 1</v>
          </cell>
          <cell r="D397" t="str">
            <v>m3</v>
          </cell>
          <cell r="E397">
            <v>198</v>
          </cell>
          <cell r="F397">
            <v>211603.89028571427</v>
          </cell>
          <cell r="G397">
            <v>675.13600000000008</v>
          </cell>
          <cell r="H397">
            <v>7602.8820839999989</v>
          </cell>
          <cell r="I397">
            <v>256047.42392078004</v>
          </cell>
          <cell r="J397">
            <v>50697389.936314449</v>
          </cell>
        </row>
        <row r="398">
          <cell r="C398" t="str">
            <v>cÇu trµn km411+677.98</v>
          </cell>
          <cell r="J398">
            <v>3161853982.2899737</v>
          </cell>
        </row>
        <row r="399">
          <cell r="C399" t="str">
            <v>1. DÇm BTCT D¦L L=33m</v>
          </cell>
          <cell r="J399">
            <v>664800000</v>
          </cell>
        </row>
        <row r="400">
          <cell r="C400" t="str">
            <v>DÇm BTCT D¦L L=33m</v>
          </cell>
          <cell r="D400" t="str">
            <v>DÇm</v>
          </cell>
          <cell r="E400">
            <v>4</v>
          </cell>
          <cell r="F400" t="e">
            <v>#N/A</v>
          </cell>
          <cell r="G400" t="e">
            <v>#N/A</v>
          </cell>
          <cell r="H400" t="e">
            <v>#N/A</v>
          </cell>
          <cell r="I400">
            <v>130000000</v>
          </cell>
          <cell r="J400">
            <v>520000000</v>
          </cell>
        </row>
        <row r="401">
          <cell r="C401" t="str">
            <v>Lao l¾p dÇm BTCT L=33m</v>
          </cell>
          <cell r="D401" t="str">
            <v>DÇm</v>
          </cell>
          <cell r="E401">
            <v>4</v>
          </cell>
          <cell r="F401" t="e">
            <v>#N/A</v>
          </cell>
          <cell r="G401" t="e">
            <v>#N/A</v>
          </cell>
          <cell r="H401" t="e">
            <v>#N/A</v>
          </cell>
          <cell r="I401">
            <v>32000000</v>
          </cell>
          <cell r="J401">
            <v>128000000</v>
          </cell>
        </row>
        <row r="402">
          <cell r="C402" t="str">
            <v>Mua vµ l¾p ®Æt gèi cÇu b»ng cao su</v>
          </cell>
          <cell r="D402" t="str">
            <v>Gèi</v>
          </cell>
          <cell r="E402">
            <v>8</v>
          </cell>
          <cell r="F402">
            <v>1581785.4</v>
          </cell>
          <cell r="G402">
            <v>30683.100000000002</v>
          </cell>
          <cell r="H402">
            <v>0</v>
          </cell>
          <cell r="I402">
            <v>2100000</v>
          </cell>
          <cell r="J402">
            <v>16800000</v>
          </cell>
        </row>
        <row r="403">
          <cell r="C403" t="str">
            <v>2. Líp phñ mÆt cÇu</v>
          </cell>
          <cell r="I403">
            <v>0</v>
          </cell>
          <cell r="J403">
            <v>59413104.171924137</v>
          </cell>
        </row>
        <row r="404">
          <cell r="C404" t="str">
            <v>Bª t«ng t¹o dèc M300</v>
          </cell>
          <cell r="D404" t="str">
            <v>m3</v>
          </cell>
          <cell r="E404">
            <v>26.4</v>
          </cell>
          <cell r="F404">
            <v>574369.22931885719</v>
          </cell>
          <cell r="G404">
            <v>40910.799999999996</v>
          </cell>
          <cell r="H404">
            <v>12642.59325</v>
          </cell>
          <cell r="I404">
            <v>983321.19550532626</v>
          </cell>
          <cell r="J404">
            <v>25959679.561340611</v>
          </cell>
        </row>
        <row r="405">
          <cell r="C405" t="str">
            <v>BTN h¹t mÞn dµy 5cm</v>
          </cell>
          <cell r="D405" t="str">
            <v>m2</v>
          </cell>
          <cell r="E405">
            <v>264</v>
          </cell>
          <cell r="F405">
            <v>42468.434871299731</v>
          </cell>
          <cell r="G405">
            <v>329.74254000000002</v>
          </cell>
          <cell r="H405">
            <v>2021.9958464000001</v>
          </cell>
          <cell r="I405">
            <v>57176.14270663201</v>
          </cell>
          <cell r="J405">
            <v>15094501.67455085</v>
          </cell>
        </row>
        <row r="406">
          <cell r="C406" t="str">
            <v>Cèt thÐp c¸c lo¹i</v>
          </cell>
          <cell r="D406" t="str">
            <v>TÊn</v>
          </cell>
          <cell r="E406">
            <v>2.64</v>
          </cell>
          <cell r="F406">
            <v>4911215.3371428577</v>
          </cell>
          <cell r="G406">
            <v>159406.01</v>
          </cell>
          <cell r="H406">
            <v>99583.053999999989</v>
          </cell>
          <cell r="I406">
            <v>6954137.4757699519</v>
          </cell>
          <cell r="J406">
            <v>18358922.936032675</v>
          </cell>
        </row>
        <row r="407">
          <cell r="C407" t="str">
            <v>3. Lan can tay vÞn b»ng BTCT</v>
          </cell>
          <cell r="D407" t="str">
            <v>md</v>
          </cell>
          <cell r="E407">
            <v>91.88</v>
          </cell>
          <cell r="I407">
            <v>450000</v>
          </cell>
          <cell r="J407">
            <v>41346000</v>
          </cell>
        </row>
        <row r="408">
          <cell r="C408" t="str">
            <v>4. B¶n dÉn KT(300x220x20)cm</v>
          </cell>
          <cell r="D408" t="str">
            <v>b¶n</v>
          </cell>
          <cell r="E408">
            <v>8</v>
          </cell>
          <cell r="I408">
            <v>2200000</v>
          </cell>
          <cell r="J408">
            <v>17600000</v>
          </cell>
        </row>
        <row r="409">
          <cell r="C409" t="str">
            <v>5. Khe co d·n cao su</v>
          </cell>
          <cell r="D409" t="str">
            <v>md</v>
          </cell>
          <cell r="E409">
            <v>16</v>
          </cell>
          <cell r="I409">
            <v>2500000</v>
          </cell>
          <cell r="J409">
            <v>40000000</v>
          </cell>
        </row>
        <row r="410">
          <cell r="C410" t="str">
            <v>6. T­êng hé lan mÒm</v>
          </cell>
          <cell r="D410" t="str">
            <v>md</v>
          </cell>
          <cell r="E410">
            <v>40</v>
          </cell>
          <cell r="I410">
            <v>450000</v>
          </cell>
          <cell r="J410">
            <v>18000000</v>
          </cell>
        </row>
        <row r="411">
          <cell r="C411" t="str">
            <v>7. Mè cÇu</v>
          </cell>
          <cell r="I411">
            <v>0</v>
          </cell>
          <cell r="J411">
            <v>1674162293.0241559</v>
          </cell>
        </row>
        <row r="412">
          <cell r="C412" t="str">
            <v>Bª t«ng M300</v>
          </cell>
          <cell r="D412" t="str">
            <v>m3</v>
          </cell>
          <cell r="E412">
            <v>404.1</v>
          </cell>
          <cell r="F412">
            <v>563323.6672165714</v>
          </cell>
          <cell r="G412">
            <v>83931.68</v>
          </cell>
          <cell r="H412">
            <v>50524.219980000002</v>
          </cell>
          <cell r="I412">
            <v>1211661.7359944407</v>
          </cell>
          <cell r="J412">
            <v>489632507.5153535</v>
          </cell>
        </row>
        <row r="413">
          <cell r="C413" t="str">
            <v>Bª t«ng M250</v>
          </cell>
          <cell r="D413" t="str">
            <v>m3</v>
          </cell>
          <cell r="E413">
            <v>78.819999999999993</v>
          </cell>
          <cell r="F413">
            <v>467896.36724971433</v>
          </cell>
          <cell r="G413">
            <v>44651.040000000001</v>
          </cell>
          <cell r="H413">
            <v>50524.219980000002</v>
          </cell>
          <cell r="I413">
            <v>913830.47055423819</v>
          </cell>
          <cell r="J413">
            <v>72028117.689085051</v>
          </cell>
        </row>
        <row r="414">
          <cell r="C414" t="str">
            <v>Bª t«ng lãt mãng M100 ®¸ 4x6</v>
          </cell>
          <cell r="D414" t="str">
            <v>m3</v>
          </cell>
          <cell r="E414">
            <v>11.46</v>
          </cell>
          <cell r="F414">
            <v>261846.0050055357</v>
          </cell>
          <cell r="G414">
            <v>22898.699999999997</v>
          </cell>
          <cell r="H414">
            <v>12040.565000000001</v>
          </cell>
          <cell r="I414">
            <v>476409.41943829454</v>
          </cell>
          <cell r="J414">
            <v>5459651.9467628561</v>
          </cell>
        </row>
        <row r="415">
          <cell r="C415" t="str">
            <v>Cèt thÐp c¸c lo¹i</v>
          </cell>
          <cell r="D415" t="str">
            <v>TÊn</v>
          </cell>
          <cell r="E415">
            <v>33.804000000000002</v>
          </cell>
          <cell r="F415">
            <v>4932735.3371428577</v>
          </cell>
          <cell r="G415">
            <v>179831.68000000002</v>
          </cell>
          <cell r="H415">
            <v>210581.53</v>
          </cell>
          <cell r="I415">
            <v>7224454.8297665929</v>
          </cell>
          <cell r="J415">
            <v>244215471.06542993</v>
          </cell>
        </row>
        <row r="416">
          <cell r="C416" t="str">
            <v>T­êng ch¾n bª t«ng h=4m</v>
          </cell>
          <cell r="D416" t="str">
            <v>md</v>
          </cell>
          <cell r="I416">
            <v>8200000</v>
          </cell>
          <cell r="J416">
            <v>0</v>
          </cell>
        </row>
        <row r="417">
          <cell r="C417" t="str">
            <v>§¸ héc x©y tø nãn M100</v>
          </cell>
          <cell r="D417" t="str">
            <v>m3</v>
          </cell>
          <cell r="E417">
            <v>719.06</v>
          </cell>
          <cell r="F417">
            <v>278810.8254982286</v>
          </cell>
          <cell r="G417">
            <v>35358.619999999995</v>
          </cell>
          <cell r="H417">
            <v>0</v>
          </cell>
          <cell r="I417">
            <v>488783.70716064883</v>
          </cell>
          <cell r="J417">
            <v>351464812.47093612</v>
          </cell>
        </row>
        <row r="418">
          <cell r="C418" t="str">
            <v>§¸ héc x©y taluy v÷a M100</v>
          </cell>
          <cell r="D418" t="str">
            <v>m3</v>
          </cell>
          <cell r="E418">
            <v>99</v>
          </cell>
          <cell r="F418">
            <v>248531.96105274287</v>
          </cell>
          <cell r="G418">
            <v>31998.09</v>
          </cell>
          <cell r="H418">
            <v>0</v>
          </cell>
          <cell r="I418">
            <v>437566.59880956577</v>
          </cell>
          <cell r="J418">
            <v>43319093.282147013</v>
          </cell>
        </row>
        <row r="419">
          <cell r="C419" t="str">
            <v>§¸ héc x©y mãng, ch©n khay M100</v>
          </cell>
          <cell r="D419" t="str">
            <v>m3</v>
          </cell>
          <cell r="E419">
            <v>58.26</v>
          </cell>
          <cell r="F419">
            <v>248531.96105274287</v>
          </cell>
          <cell r="G419">
            <v>27907.01</v>
          </cell>
          <cell r="H419">
            <v>0</v>
          </cell>
          <cell r="I419">
            <v>421653.28258626495</v>
          </cell>
          <cell r="J419">
            <v>24565520.243475795</v>
          </cell>
        </row>
        <row r="420">
          <cell r="C420" t="str">
            <v xml:space="preserve">D¨m s¹n ®Öm </v>
          </cell>
          <cell r="D420" t="str">
            <v>m3</v>
          </cell>
          <cell r="E420">
            <v>331.11</v>
          </cell>
          <cell r="F420">
            <v>135855.41509523807</v>
          </cell>
          <cell r="G420">
            <v>30115.26</v>
          </cell>
          <cell r="H420">
            <v>0</v>
          </cell>
          <cell r="I420">
            <v>288292.40124649595</v>
          </cell>
          <cell r="J420">
            <v>95456496.976727277</v>
          </cell>
        </row>
        <row r="421">
          <cell r="C421" t="str">
            <v xml:space="preserve">§µo mãng ®Êt cÊp 3 </v>
          </cell>
          <cell r="D421" t="str">
            <v>m3</v>
          </cell>
          <cell r="E421">
            <v>2813.25</v>
          </cell>
          <cell r="F421">
            <v>0</v>
          </cell>
          <cell r="G421">
            <v>5890.0582800000002</v>
          </cell>
          <cell r="H421">
            <v>2404.6233119999997</v>
          </cell>
          <cell r="I421">
            <v>26458.435658106639</v>
          </cell>
          <cell r="J421">
            <v>74434194.115168497</v>
          </cell>
        </row>
        <row r="422">
          <cell r="C422" t="str">
            <v>§¾p ®Êt cÊp 3</v>
          </cell>
          <cell r="D422" t="str">
            <v>m3</v>
          </cell>
          <cell r="E422">
            <v>4771.8</v>
          </cell>
          <cell r="F422">
            <v>0</v>
          </cell>
          <cell r="G422">
            <v>9298.26</v>
          </cell>
          <cell r="H422">
            <v>0</v>
          </cell>
          <cell r="I422">
            <v>36167.992732107356</v>
          </cell>
          <cell r="J422">
            <v>172586427.7190699</v>
          </cell>
        </row>
        <row r="423">
          <cell r="C423" t="str">
            <v>Thi c«ng mè</v>
          </cell>
          <cell r="D423" t="str">
            <v>TB</v>
          </cell>
          <cell r="E423">
            <v>28.07</v>
          </cell>
          <cell r="F423">
            <v>4932735.3371428577</v>
          </cell>
          <cell r="G423">
            <v>179831.68000000002</v>
          </cell>
          <cell r="H423">
            <v>210581.53</v>
          </cell>
          <cell r="I423">
            <v>7224454.8297665929</v>
          </cell>
          <cell r="J423">
            <v>101000000</v>
          </cell>
        </row>
        <row r="424">
          <cell r="C424" t="str">
            <v xml:space="preserve">8. Cäc BTCT (35x35)cm </v>
          </cell>
          <cell r="D424" t="str">
            <v>md</v>
          </cell>
          <cell r="E424">
            <v>768</v>
          </cell>
          <cell r="I424">
            <v>400000</v>
          </cell>
          <cell r="J424">
            <v>307200000</v>
          </cell>
        </row>
        <row r="425">
          <cell r="C425" t="str">
            <v>9. H¹ng môc kh¸c</v>
          </cell>
          <cell r="D425" t="str">
            <v>TB</v>
          </cell>
          <cell r="I425">
            <v>0</v>
          </cell>
          <cell r="J425">
            <v>28000000</v>
          </cell>
        </row>
        <row r="426">
          <cell r="C426" t="str">
            <v>§¾p ®Êt ®ª quai</v>
          </cell>
          <cell r="D426" t="str">
            <v>m3</v>
          </cell>
          <cell r="E426">
            <v>45</v>
          </cell>
          <cell r="F426">
            <v>0</v>
          </cell>
          <cell r="G426">
            <v>29528.04</v>
          </cell>
          <cell r="H426">
            <v>0</v>
          </cell>
          <cell r="I426">
            <v>137828.35964320746</v>
          </cell>
          <cell r="J426">
            <v>6202276.1839443352</v>
          </cell>
        </row>
        <row r="427">
          <cell r="C427" t="str">
            <v>M¸y b¬m n­íc</v>
          </cell>
          <cell r="D427" t="str">
            <v>Ca</v>
          </cell>
          <cell r="E427">
            <v>30</v>
          </cell>
          <cell r="F427">
            <v>0</v>
          </cell>
          <cell r="G427">
            <v>0</v>
          </cell>
          <cell r="H427">
            <v>466499</v>
          </cell>
          <cell r="I427">
            <v>625657.55711489427</v>
          </cell>
          <cell r="J427">
            <v>18769726.713446829</v>
          </cell>
        </row>
        <row r="428">
          <cell r="C428" t="str">
            <v>Mua vµ l¾p ®Æt biÓn b¸o ®­êng bé</v>
          </cell>
          <cell r="D428" t="str">
            <v>Bé</v>
          </cell>
          <cell r="E428">
            <v>4</v>
          </cell>
          <cell r="F428">
            <v>594310.03418620001</v>
          </cell>
          <cell r="G428">
            <v>9170.9856</v>
          </cell>
          <cell r="H428">
            <v>2246.2963200000004</v>
          </cell>
          <cell r="I428">
            <v>860000</v>
          </cell>
          <cell r="J428">
            <v>3440000</v>
          </cell>
        </row>
        <row r="429">
          <cell r="C429" t="str">
            <v>10. Ph¸ dì cÇu cò</v>
          </cell>
          <cell r="J429">
            <v>36387794.307268664</v>
          </cell>
        </row>
        <row r="430">
          <cell r="C430" t="str">
            <v>§Ëp bá bª t«ng cÇu cò</v>
          </cell>
          <cell r="D430" t="str">
            <v>m3</v>
          </cell>
          <cell r="E430">
            <v>36.08</v>
          </cell>
          <cell r="F430">
            <v>0</v>
          </cell>
          <cell r="G430">
            <v>68671.7</v>
          </cell>
          <cell r="H430">
            <v>0</v>
          </cell>
          <cell r="I430">
            <v>267116.37946255063</v>
          </cell>
          <cell r="J430">
            <v>9637558.971008826</v>
          </cell>
        </row>
        <row r="431">
          <cell r="C431" t="str">
            <v>§Ëp bá ®¸ héc x©y cò</v>
          </cell>
          <cell r="D431" t="str">
            <v>m3</v>
          </cell>
          <cell r="E431">
            <v>204.75</v>
          </cell>
          <cell r="F431">
            <v>0</v>
          </cell>
          <cell r="G431">
            <v>22208.720000000001</v>
          </cell>
          <cell r="H431">
            <v>0</v>
          </cell>
          <cell r="I431">
            <v>86386.573783633401</v>
          </cell>
          <cell r="J431">
            <v>17687650.982198939</v>
          </cell>
        </row>
        <row r="432">
          <cell r="C432" t="str">
            <v>Th¸o dì thÐp cÇu cò</v>
          </cell>
          <cell r="D432" t="str">
            <v>TÊn</v>
          </cell>
          <cell r="E432">
            <v>4.71</v>
          </cell>
          <cell r="F432">
            <v>215999.99999999997</v>
          </cell>
          <cell r="G432">
            <v>218652</v>
          </cell>
          <cell r="H432">
            <v>543277.45000000007</v>
          </cell>
          <cell r="I432">
            <v>1924115.5741105948</v>
          </cell>
          <cell r="J432">
            <v>9062584.3540609013</v>
          </cell>
        </row>
        <row r="433">
          <cell r="C433" t="str">
            <v>11. TuyÕn tr¸nh</v>
          </cell>
          <cell r="I433">
            <v>0</v>
          </cell>
          <cell r="J433">
            <v>274944790.78662509</v>
          </cell>
        </row>
        <row r="434">
          <cell r="C434" t="str">
            <v>DÇm I500 lµm cÇu t¹m</v>
          </cell>
          <cell r="D434" t="str">
            <v>TÊn</v>
          </cell>
          <cell r="E434">
            <v>7.5359999999999996</v>
          </cell>
          <cell r="F434">
            <v>999886.30761904758</v>
          </cell>
          <cell r="G434">
            <v>346912.49600000004</v>
          </cell>
          <cell r="H434">
            <v>446151.53</v>
          </cell>
          <cell r="I434">
            <v>3623924.8854130441</v>
          </cell>
          <cell r="J434">
            <v>27309897.936472699</v>
          </cell>
        </row>
        <row r="435">
          <cell r="C435" t="str">
            <v>L¾p dùng vµ th¸o dì cÇu t¹m</v>
          </cell>
          <cell r="D435" t="str">
            <v>TÊn</v>
          </cell>
          <cell r="E435">
            <v>7.5359999999999996</v>
          </cell>
          <cell r="F435">
            <v>278999.99999999994</v>
          </cell>
          <cell r="G435">
            <v>218652</v>
          </cell>
          <cell r="H435">
            <v>543277.45000000007</v>
          </cell>
          <cell r="I435">
            <v>2200391.9957527202</v>
          </cell>
          <cell r="J435">
            <v>16582154.079992497</v>
          </cell>
        </row>
        <row r="436">
          <cell r="C436" t="str">
            <v>L¾p ®Æt vµ th¸o dì rä ®¸</v>
          </cell>
          <cell r="D436" t="str">
            <v>Rä</v>
          </cell>
          <cell r="E436">
            <v>150</v>
          </cell>
          <cell r="F436">
            <v>167311.23357142857</v>
          </cell>
          <cell r="G436">
            <v>63119.520000000004</v>
          </cell>
          <cell r="H436">
            <v>0</v>
          </cell>
          <cell r="I436">
            <v>498735.7040999615</v>
          </cell>
          <cell r="J436">
            <v>74810355.614994228</v>
          </cell>
        </row>
        <row r="437">
          <cell r="C437" t="str">
            <v xml:space="preserve">§¾p ®Êt nÒn ®­êng </v>
          </cell>
          <cell r="D437" t="str">
            <v>m3</v>
          </cell>
          <cell r="E437">
            <v>1875</v>
          </cell>
          <cell r="F437">
            <v>5714.2857142857138</v>
          </cell>
          <cell r="G437">
            <v>6287.7246742857133</v>
          </cell>
          <cell r="H437">
            <v>16215.547368</v>
          </cell>
          <cell r="I437">
            <v>60797.097711059716</v>
          </cell>
          <cell r="J437">
            <v>113994558.20823696</v>
          </cell>
        </row>
        <row r="438">
          <cell r="C438" t="str">
            <v>Mãng cÊp phèi ®¸ d¨m lo¹i 1</v>
          </cell>
          <cell r="D438" t="str">
            <v>m3</v>
          </cell>
          <cell r="E438">
            <v>165</v>
          </cell>
          <cell r="F438">
            <v>211603.89028571427</v>
          </cell>
          <cell r="G438">
            <v>675.13600000000008</v>
          </cell>
          <cell r="H438">
            <v>7602.8820839999989</v>
          </cell>
          <cell r="I438">
            <v>256047.42392078004</v>
          </cell>
          <cell r="J438">
            <v>42247824.94692871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 refreshError="1"/>
      <sheetData sheetId="260"/>
      <sheetData sheetId="26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ra-vat-lieu"/>
      <sheetName val="PTDG"/>
      <sheetName val="T.Tranh AnLoc"/>
      <sheetName val="T.Tranh LocNinh"/>
      <sheetName val="QL13"/>
      <sheetName val="Tonghop"/>
      <sheetName val="Tra_bang"/>
      <sheetName val="KSTK(1778 Dcuong)"/>
      <sheetName val="dbgt(tuyen) (2)"/>
      <sheetName val="dbgt(tuyen)"/>
      <sheetName val="DgiaksatDHC4,"/>
      <sheetName val="dongia"/>
      <sheetName val="KSTK (06)"/>
      <sheetName val="XL4Poppy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Sheet1"/>
      <sheetName val="Sheet2"/>
      <sheetName val="Sheet3"/>
      <sheetName val="Co.gty"/>
      <sheetName val="T.Tranh LmcNinh"/>
      <sheetName val="KSTK(17_x0017_8 Dcuong)"/>
      <sheetName val="dbgt(tuien)"/>
      <sheetName val="DgiakqatDHC4,"/>
      <sheetName val="KQTK (06)"/>
      <sheetName val="TK.TGTGT"/>
      <sheetName val="BR.10%"/>
      <sheetName val="MV.10% "/>
      <sheetName val="MV.01%"/>
      <sheetName val="Ctg.Thu"/>
      <sheetName val="Ctg.Chi"/>
      <sheetName val="Ctg.Gv"/>
      <sheetName val="Ctgs.1"/>
      <sheetName val="Ctgs.2"/>
      <sheetName val="Ctgs.3"/>
      <sheetName val="Bia Ctgs"/>
      <sheetName val="BK.NXT"/>
      <sheetName val="Ct.Nxt"/>
      <sheetName val="Cd.Nhap"/>
      <sheetName val="Sheet4"/>
      <sheetName val="DTCT"/>
      <sheetName val="KSTK(1778 _x0004_c5o.g)"/>
      <sheetName val="db't(tuyen) (2)"/>
      <sheetName val="wia nhan cong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Tra_ba_x000e_g"/>
      <sheetName val="_x0018_N54"/>
      <sheetName val="gia vat_x0000_lieu"/>
      <sheetName val="Dulieu"/>
      <sheetName val="Tai khoan"/>
      <sheetName val="tonghoptt (2)"/>
      <sheetName val="tonghoptt"/>
      <sheetName val="ximang"/>
      <sheetName val="da 1x2"/>
      <sheetName val="cat vang"/>
      <sheetName val="phugia555"/>
      <sheetName val="phugia561"/>
      <sheetName val="00000000"/>
      <sheetName val="gia 3_x0000_t lieu"/>
      <sheetName val="dung"/>
      <sheetName val="2_x0000__x0000_(tuyen)"/>
      <sheetName val="Tra KS"/>
      <sheetName val="C45-BH"/>
      <sheetName val="C47-BH-01"/>
      <sheetName val="C47-BH-02"/>
      <sheetName val="C47-BH-03"/>
      <sheetName val="C46-BH-I"/>
      <sheetName val="S53-BH-I"/>
      <sheetName val="C47-BH-04"/>
      <sheetName val="C47-BH-05"/>
      <sheetName val="C47-BH-06"/>
      <sheetName val="S53-BH-II"/>
      <sheetName val="C46-BH-II"/>
      <sheetName val="C47-BH-07"/>
      <sheetName val="C47-BH-08"/>
      <sheetName val="C47-BH-09"/>
      <sheetName val="S53-BH-III"/>
      <sheetName val="C46-BH-III"/>
      <sheetName val="C47-BH-10"/>
      <sheetName val="C47-BH-11"/>
      <sheetName val="C47-BH-12"/>
      <sheetName val="S53-BH-IV"/>
      <sheetName val="C46-BH-IV"/>
      <sheetName val="10000000"/>
      <sheetName val="20000000"/>
      <sheetName val="VL,NC"/>
      <sheetName val="TSO_CHUNG"/>
      <sheetName val="ctTBA"/>
      <sheetName val="NOMENCLATURE"/>
      <sheetName val="gia vat"/>
      <sheetName val="Tra_bang_QD11-109"/>
      <sheetName val="giathanh1"/>
      <sheetName val="BTH phi"/>
      <sheetName val="BLT phi"/>
      <sheetName val="phi,le phi"/>
      <sheetName val="Bien Lai TON"/>
      <sheetName val="BCQT "/>
      <sheetName val="Giay di duong"/>
      <sheetName val="BC QT cua tung ap"/>
      <sheetName val="GIAO CHI TIEU THU QUY 07"/>
      <sheetName val="BANG TONG HOP GIAY NOP TIEN"/>
      <sheetName val="CHITIET VL-NC-TT-3p"/>
      <sheetName val="VCV-BE-TONG"/>
      <sheetName val="ptdg-duong"/>
      <sheetName val="dgngia"/>
      <sheetName val="T_Tranh_AnLoc"/>
      <sheetName val="T_Tranh_LocNinh"/>
      <sheetName val="KSTK(1778_Dcuong)"/>
      <sheetName val="dbgt(tuyen)_(2)"/>
      <sheetName val="KSTK_(06)"/>
      <sheetName val="tong_hop"/>
      <sheetName val="phan_tich_DG"/>
      <sheetName val="gia_vat_lieu"/>
      <sheetName val="gia_xe_may"/>
      <sheetName val="gia_nhan_cong"/>
      <sheetName val="Co_gty"/>
      <sheetName val="T_Tranh_LmcNinh"/>
      <sheetName val="KSTK(178_Dcuong)"/>
      <sheetName val="KQTK_(06)"/>
      <sheetName val="TK_TGTGT"/>
      <sheetName val="BR_10%"/>
      <sheetName val="MV_10%_"/>
      <sheetName val="MV_01%"/>
      <sheetName val="Ctg_Thu"/>
      <sheetName val="Ctg_Chi"/>
      <sheetName val="Ctg_Gv"/>
      <sheetName val="Ctgs_1"/>
      <sheetName val="Ctgs_2"/>
      <sheetName val="Ctgs_3"/>
      <sheetName val="Bia_Ctgs"/>
      <sheetName val="BK_NXT"/>
      <sheetName val="Ct_Nxt"/>
      <sheetName val="Cd_Nhap"/>
      <sheetName val="KSTK(1778_c5o_g)"/>
      <sheetName val="db't(tuyen)_(2)"/>
      <sheetName val="wia_nhan_cong"/>
      <sheetName val="CT_doanh_thu_2005"/>
      <sheetName val="Dthu_2006_sua"/>
      <sheetName val="Doanh_thu_gia_thanh"/>
      <sheetName val="6_thang_2006"/>
      <sheetName val="Bao_cao_thue_(2)"/>
      <sheetName val="Tong_hop_CP_T10"/>
      <sheetName val="Bao_cao_thue"/>
      <sheetName val="Thue_cong_trinh"/>
      <sheetName val="Gia_thanh"/>
      <sheetName val="Pke_toan"/>
      <sheetName val="Gia_thanh_cong_trinh_-_Hoa"/>
      <sheetName val="Ke_toan_thuc_hien_cong_trinh"/>
      <sheetName val="Du_kien_DT_9_thang_de_nop"/>
      <sheetName val="Tra_bag"/>
      <sheetName val="N54"/>
      <sheetName val="tonghoptt_(2)"/>
      <sheetName val="da_1x2"/>
      <sheetName val="cat_vang"/>
      <sheetName val="gia vat?lieu"/>
      <sheetName val="fia vat lieu"/>
      <sheetName val="Shdet3"/>
      <sheetName val="Cn.gty"/>
      <sheetName val="dbgt(tuien("/>
      <sheetName val="DgiajqatDHC4,"/>
      <sheetName val="gVL"/>
      <sheetName val="DTCT-TB"/>
      <sheetName val="dtct cau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PTVT (MAU)"/>
      <sheetName val="gia 3?t lieu"/>
      <sheetName val="gia 3"/>
      <sheetName val="gia vat_lieu"/>
      <sheetName val="2"/>
      <sheetName val="Tonghp"/>
      <sheetName val="T.Tran( AnLoc"/>
      <sheetName val="gia 8e may"/>
      <sheetName val="KH-Q1,Q2,01"/>
      <sheetName val="Tnnghop"/>
      <sheetName val="_x000c__x0000__x0001__x0000__x0000__x0000__x0001_ý"/>
      <sheetName val="Thuc thanh"/>
      <sheetName val="KCCP"/>
      <sheetName val="Loading"/>
      <sheetName val="Check C"/>
      <sheetName val="BO"/>
      <sheetName val="Electrical Breakdown"/>
      <sheetName val="uniBase"/>
      <sheetName val="vniBase"/>
      <sheetName val="abc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 refreshError="1"/>
      <sheetData sheetId="210" refreshError="1"/>
      <sheetData sheetId="211"/>
      <sheetData sheetId="212"/>
      <sheetData sheetId="213"/>
      <sheetData sheetId="214" refreshError="1"/>
      <sheetData sheetId="215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-cm"/>
      <sheetName val="tra-vat-lieu"/>
      <sheetName val="CVC-01"/>
      <sheetName val="ptdg-01"/>
      <sheetName val="dtct_Duong-01"/>
      <sheetName val="TH-01"/>
      <sheetName val="ptke-01"/>
      <sheetName val="dtctke-01"/>
      <sheetName val="th-ke-01"/>
      <sheetName val="TH_GTXL"/>
      <sheetName val="ptdg-01 (2)"/>
      <sheetName val="giagoc"/>
      <sheetName val="CVC"/>
      <sheetName val="ptdg"/>
      <sheetName val="dtct_Duong-tk"/>
      <sheetName val="TH-tk"/>
      <sheetName val="ptke"/>
      <sheetName val="dtctke-tk"/>
      <sheetName val="thke-tk"/>
      <sheetName val="dtct_Duong-tc"/>
      <sheetName val="THd-tc"/>
      <sheetName val="dtctke-tc"/>
      <sheetName val="thke-tc"/>
      <sheetName val="TH_GTXL-TC"/>
      <sheetName val="tra_vat_lieu"/>
      <sheetName val="NXT-Q1"/>
      <sheetName val="NXT-10T (2)"/>
      <sheetName val="NXT-6T"/>
      <sheetName val="NXT-10T (3)"/>
      <sheetName val="NXT-9T"/>
      <sheetName val="NXT-9T (2)"/>
      <sheetName val="NXT-10T"/>
      <sheetName val="NXT-10T (4)"/>
      <sheetName val="NXT-Q2"/>
      <sheetName val="NXT-Q3"/>
      <sheetName val="NXT-10"/>
      <sheetName val="Sheet1"/>
      <sheetName val="Sheet1 (2)"/>
      <sheetName val="Sheet2"/>
      <sheetName val="Sheet3"/>
      <sheetName val="31-08"/>
      <sheetName val="01-09"/>
      <sheetName val="02-09"/>
      <sheetName val="03-09"/>
      <sheetName val="04-09"/>
      <sheetName val="05-9"/>
      <sheetName val="06-09"/>
      <sheetName val="07-09"/>
      <sheetName val="08-09"/>
      <sheetName val="XL4Test5"/>
      <sheetName val="dtct cong"/>
      <sheetName val="THop01"/>
      <sheetName val="THop02"/>
      <sheetName val="Ctiet01"/>
      <sheetName val="Ctiet02"/>
      <sheetName val="Bke01"/>
      <sheetName val="Bke02"/>
      <sheetName val="Ctiet03"/>
      <sheetName val="THop03"/>
      <sheetName val="Bke03"/>
      <sheetName val="BCTHQI"/>
      <sheetName val="C tietTH6T"/>
      <sheetName val="BCTH6T"/>
      <sheetName val="BCTHQII"/>
      <sheetName val="CtietQI"/>
      <sheetName val="CtietQII"/>
      <sheetName val="Bke04"/>
      <sheetName val="THop04"/>
      <sheetName val="Ctiet04"/>
      <sheetName val="C tiet 05"/>
      <sheetName val="THop05"/>
      <sheetName val="Bke05"/>
      <sheetName val="Bke06"/>
      <sheetName val="THop06"/>
      <sheetName val="Ctiet06"/>
      <sheetName val="Bke07"/>
      <sheetName val="THop07"/>
      <sheetName val="Ctiet07"/>
      <sheetName val="Den 31,7"/>
      <sheetName val="Bke08"/>
      <sheetName val="THop08"/>
      <sheetName val="Ctiet08"/>
      <sheetName val="BCQIII"/>
      <sheetName val="CtietQIII"/>
      <sheetName val="BC9Tnam"/>
      <sheetName val="THop09"/>
      <sheetName val="Ctiet09"/>
      <sheetName val="Bke09"/>
      <sheetName val="THop10"/>
      <sheetName val="Bke 10"/>
      <sheetName val="Ctiet10"/>
      <sheetName val="UOc T10"/>
      <sheetName val="Ctiet11"/>
      <sheetName val="THop11"/>
      <sheetName val="Bke 11"/>
      <sheetName val="Uoc 2005"/>
      <sheetName val="THop12"/>
      <sheetName val="Ctiet12"/>
      <sheetName val="Bke 12"/>
      <sheetName val="00000000"/>
      <sheetName val="XXXXXXXX"/>
      <sheetName val="XXXXXXX0"/>
      <sheetName val="gVL"/>
      <sheetName val="Tien An T11"/>
      <sheetName val="DNPD-QL"/>
      <sheetName val="Bang luong"/>
      <sheetName val="Bang CC"/>
      <sheetName val=" Luong nghien "/>
      <sheetName val="QT-LN"/>
      <sheetName val="Giantiep"/>
      <sheetName val="Tong hop"/>
      <sheetName val="Phuc vu"/>
      <sheetName val="May Phat"/>
      <sheetName val="1813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px2,tb-t,"/>
      <sheetName val="NhucauKP"/>
      <sheetName val="Sheet3 (2)"/>
      <sheetName val="XL4Poppy"/>
      <sheetName val="Tra_bang"/>
      <sheetName val="dtctODuong-01"/>
      <sheetName val="DTCT"/>
      <sheetName val="nc%cm"/>
      <sheetName val="dtct cau"/>
      <sheetName val="dtct_Duong,tc"/>
      <sheetName val="CtiedQII"/>
      <sheetName val="DHop08"/>
      <sheetName val="Ctiet 9"/>
      <sheetName val="Ctiet!1"/>
      <sheetName val="00 00000"/>
      <sheetName val="Sheet! (2)"/>
      <sheetName val="nc_cm"/>
      <sheetName val="CVC-_x0010_1"/>
      <sheetName val="dt#tke-01"/>
      <sheetName val="ptdg-00 (2)"/>
      <sheetName val="02- 9"/>
      <sheetName val="Cheet3"/>
      <sheetName val="THop0_x0015_"/>
      <sheetName val="Bke0_x0015_"/>
      <sheetName val="_x0004_en 31,7"/>
      <sheetName val="THop0("/>
      <sheetName val="BC9Tfam"/>
      <sheetName val="tra-vat-lieu (duyet)"/>
      <sheetName val="TVL"/>
      <sheetName val="tra bang"/>
      <sheetName val="CORE PLATE"/>
      <sheetName val="ASSY"/>
      <sheetName val="NEEDLE"/>
      <sheetName val="TR "/>
      <sheetName val="TR  AJO"/>
      <sheetName val="TR  ALO"/>
      <sheetName val="DAT 5"/>
      <sheetName val="TR PLUG"/>
      <sheetName val="TR BARREL"/>
      <sheetName val="TR_GR"/>
      <sheetName val="TR  JUKI"/>
      <sheetName val="GUIDE"/>
      <sheetName val="MPY_04003M"/>
      <sheetName val="JUN.07  "/>
      <sheetName val="Kashime_Auto"/>
      <sheetName val="WEITHT1"/>
      <sheetName val="NC_CAM"/>
      <sheetName val="INV.0706JPY"/>
      <sheetName val="Schedule08.07"/>
      <sheetName val="CHENH LECH"/>
      <sheetName val="OKAYA KH ALO"/>
      <sheetName val="OKAYA  (2)"/>
      <sheetName val="OKAYA "/>
      <sheetName val="Sheet4"/>
      <sheetName val="nhiemvu2006"/>
      <sheetName val="RutTM"/>
      <sheetName val="10000000"/>
      <sheetName val="20000000"/>
      <sheetName val="30000000"/>
      <sheetName val="ptdg-01_(2)"/>
      <sheetName val="NXT-10T_(2)"/>
      <sheetName val="NXT-10T_(3)"/>
      <sheetName val="NXT-9T_(2)"/>
      <sheetName val="NXT-10T_(4)"/>
      <sheetName val="Sheet1_(2)"/>
      <sheetName val="dtct_cong"/>
      <sheetName val="C_tietTH6T"/>
      <sheetName val="C_tiet_05"/>
      <sheetName val="Den_31,7"/>
      <sheetName val="Bke_10"/>
      <sheetName val="UOc_T10"/>
      <sheetName val="Bke_11"/>
      <sheetName val="Uoc_2005"/>
      <sheetName val="Bke_12"/>
      <sheetName val="Tien_An_T11"/>
      <sheetName val="Bang_luong"/>
      <sheetName val="Bang_CC"/>
      <sheetName val="_Luong_nghien_"/>
      <sheetName val="Tong_hop"/>
      <sheetName val="Phuc_vu"/>
      <sheetName val="May_Phat"/>
      <sheetName val="dtct_cau"/>
      <sheetName val="[ duong257-272."/>
      <sheetName val="d4ct_Duong-01"/>
      <sheetName val="Tra KS"/>
      <sheetName val="GiaVL"/>
      <sheetName val="TH_GTXL࠭TC"/>
      <sheetName val="Bia"/>
      <sheetName val="THKP D"/>
      <sheetName val="THKP"/>
      <sheetName val="Bu gia1"/>
      <sheetName val="Bu gia in"/>
      <sheetName val="Bu gia"/>
      <sheetName val="CL CL"/>
      <sheetName val="CL"/>
      <sheetName val="DT"/>
    </sheetNames>
    <sheetDataSet>
      <sheetData sheetId="0"/>
      <sheetData sheetId="1" refreshError="1">
        <row r="4">
          <cell r="G4" t="str">
            <v>c</v>
          </cell>
          <cell r="H4" t="str">
            <v>C¸t vµng</v>
          </cell>
          <cell r="I4" t="str">
            <v>m3</v>
          </cell>
          <cell r="J4">
            <v>119264.99999999999</v>
          </cell>
        </row>
        <row r="5">
          <cell r="G5" t="str">
            <v>x</v>
          </cell>
          <cell r="H5" t="str">
            <v>Xim¨ng PC-300</v>
          </cell>
          <cell r="I5" t="str">
            <v>kg</v>
          </cell>
          <cell r="J5">
            <v>812.94223809523805</v>
          </cell>
        </row>
        <row r="6">
          <cell r="G6" t="str">
            <v>nc</v>
          </cell>
          <cell r="H6" t="str">
            <v>N­íc</v>
          </cell>
          <cell r="I6" t="str">
            <v>LÝt</v>
          </cell>
          <cell r="J6">
            <v>4</v>
          </cell>
        </row>
        <row r="7">
          <cell r="G7" t="str">
            <v>nu</v>
          </cell>
          <cell r="H7" t="str">
            <v>N­íc</v>
          </cell>
          <cell r="I7" t="str">
            <v>LÝt</v>
          </cell>
          <cell r="J7">
            <v>4</v>
          </cell>
        </row>
        <row r="8">
          <cell r="G8" t="str">
            <v>btn</v>
          </cell>
          <cell r="H8" t="str">
            <v>Bªt«ng nhùa</v>
          </cell>
          <cell r="I8" t="str">
            <v>TÊn</v>
          </cell>
        </row>
        <row r="9">
          <cell r="G9" t="str">
            <v>#</v>
          </cell>
          <cell r="H9" t="str">
            <v>VËt liÖu kh¸c</v>
          </cell>
          <cell r="I9" t="str">
            <v>%</v>
          </cell>
        </row>
        <row r="10">
          <cell r="G10">
            <v>4</v>
          </cell>
          <cell r="H10" t="str">
            <v>§¸ d¨m 4x6</v>
          </cell>
          <cell r="I10" t="str">
            <v>m3</v>
          </cell>
          <cell r="J10">
            <v>119809.9</v>
          </cell>
        </row>
        <row r="11">
          <cell r="G11" t="str">
            <v>n</v>
          </cell>
          <cell r="H11" t="str">
            <v>Nhùa ®­êng</v>
          </cell>
          <cell r="I11" t="str">
            <v>kg</v>
          </cell>
          <cell r="J11">
            <v>3665.964476190476</v>
          </cell>
        </row>
        <row r="12">
          <cell r="G12">
            <v>1</v>
          </cell>
          <cell r="H12" t="str">
            <v>§¸ d¨m 1x2</v>
          </cell>
          <cell r="I12" t="str">
            <v>m3</v>
          </cell>
          <cell r="J12">
            <v>149266.13333333333</v>
          </cell>
        </row>
        <row r="13">
          <cell r="G13" t="str">
            <v>cpdd1</v>
          </cell>
          <cell r="H13" t="str">
            <v>CÊp phèi ®¸ d¨m</v>
          </cell>
          <cell r="I13" t="str">
            <v>m3</v>
          </cell>
          <cell r="J13">
            <v>149266.13333333333</v>
          </cell>
        </row>
        <row r="14">
          <cell r="G14" t="str">
            <v>cpdd2</v>
          </cell>
          <cell r="H14" t="str">
            <v>CÊp phèi ®¸ d¨m</v>
          </cell>
          <cell r="I14" t="str">
            <v>m3</v>
          </cell>
          <cell r="J14">
            <v>134980.41904761904</v>
          </cell>
        </row>
        <row r="15">
          <cell r="G15" t="str">
            <v>dmz</v>
          </cell>
          <cell r="H15" t="str">
            <v>DÇu Mazut</v>
          </cell>
          <cell r="I15" t="str">
            <v>kg</v>
          </cell>
          <cell r="J15">
            <v>4500</v>
          </cell>
        </row>
        <row r="16">
          <cell r="G16" t="str">
            <v>cpdd</v>
          </cell>
          <cell r="H16" t="str">
            <v>CÊp phèi ®¸ d¨m</v>
          </cell>
          <cell r="I16" t="str">
            <v>m3</v>
          </cell>
          <cell r="J16" t="e">
            <v>#REF!</v>
          </cell>
        </row>
        <row r="17">
          <cell r="G17" t="str">
            <v>cui</v>
          </cell>
          <cell r="H17" t="str">
            <v>Cñi</v>
          </cell>
          <cell r="I17" t="str">
            <v>kg</v>
          </cell>
          <cell r="J17">
            <v>500</v>
          </cell>
        </row>
        <row r="18">
          <cell r="G18" t="str">
            <v>d</v>
          </cell>
          <cell r="H18" t="str">
            <v xml:space="preserve">D©y thÐp </v>
          </cell>
          <cell r="I18" t="str">
            <v>kg</v>
          </cell>
          <cell r="J18">
            <v>6333.333333333333</v>
          </cell>
        </row>
        <row r="19">
          <cell r="G19" t="str">
            <v>dh</v>
          </cell>
          <cell r="H19" t="str">
            <v xml:space="preserve">§¸ héc </v>
          </cell>
          <cell r="I19" t="str">
            <v>m3</v>
          </cell>
          <cell r="J19">
            <v>95490.223809523799</v>
          </cell>
        </row>
        <row r="20">
          <cell r="G20">
            <v>2</v>
          </cell>
          <cell r="H20" t="str">
            <v>§¸ d¨m 2x4</v>
          </cell>
          <cell r="I20" t="str">
            <v>m3</v>
          </cell>
          <cell r="J20">
            <v>144504.22857142857</v>
          </cell>
        </row>
        <row r="21">
          <cell r="G21" t="str">
            <v>tbb</v>
          </cell>
          <cell r="H21" t="str">
            <v>Trô biÓn b¸o</v>
          </cell>
          <cell r="I21" t="str">
            <v>Trô</v>
          </cell>
          <cell r="J21">
            <v>235000</v>
          </cell>
        </row>
        <row r="22">
          <cell r="G22">
            <v>0.5</v>
          </cell>
          <cell r="H22" t="str">
            <v>§¸ d¨m 0,5x1</v>
          </cell>
          <cell r="I22" t="str">
            <v>m3</v>
          </cell>
          <cell r="J22">
            <v>149266.13333333333</v>
          </cell>
        </row>
        <row r="23">
          <cell r="G23" t="str">
            <v>di</v>
          </cell>
          <cell r="H23" t="str">
            <v>§inh</v>
          </cell>
          <cell r="I23" t="str">
            <v>kg</v>
          </cell>
          <cell r="J23">
            <v>6190.4761904761899</v>
          </cell>
        </row>
        <row r="24">
          <cell r="G24" t="str">
            <v>g</v>
          </cell>
          <cell r="H24" t="str">
            <v>Gç v¸n</v>
          </cell>
          <cell r="I24" t="str">
            <v>m3</v>
          </cell>
          <cell r="J24">
            <v>1279992.2066666668</v>
          </cell>
        </row>
        <row r="25">
          <cell r="G25" t="str">
            <v>dn</v>
          </cell>
          <cell r="H25" t="str">
            <v xml:space="preserve">Gç ®µ nÑp </v>
          </cell>
          <cell r="I25" t="str">
            <v>m3</v>
          </cell>
          <cell r="J25">
            <v>1279992.2066666668</v>
          </cell>
        </row>
        <row r="26">
          <cell r="G26" t="str">
            <v>s</v>
          </cell>
          <cell r="H26" t="str">
            <v>S¬n</v>
          </cell>
          <cell r="I26" t="str">
            <v>kg</v>
          </cell>
          <cell r="J26">
            <v>26666.666666666664</v>
          </cell>
        </row>
        <row r="27">
          <cell r="G27" t="str">
            <v>q</v>
          </cell>
          <cell r="H27" t="str">
            <v>Que hµn</v>
          </cell>
          <cell r="I27" t="str">
            <v>kg</v>
          </cell>
          <cell r="J27">
            <v>11428.571428571428</v>
          </cell>
        </row>
        <row r="28">
          <cell r="G28" t="str">
            <v>d12</v>
          </cell>
          <cell r="H28" t="str">
            <v>ThÐp trßn d=12mm</v>
          </cell>
          <cell r="I28" t="str">
            <v>kg</v>
          </cell>
          <cell r="J28">
            <v>4338.0350476190479</v>
          </cell>
        </row>
        <row r="29">
          <cell r="G29" t="str">
            <v>d6</v>
          </cell>
          <cell r="H29" t="str">
            <v>ThÐp trßn d=6mm</v>
          </cell>
          <cell r="I29" t="str">
            <v>kg</v>
          </cell>
          <cell r="J29">
            <v>4671.3686666666663</v>
          </cell>
        </row>
        <row r="30">
          <cell r="G30" t="str">
            <v>bdbtn</v>
          </cell>
          <cell r="H30" t="str">
            <v>Bét ®¸ (7%)</v>
          </cell>
          <cell r="I30" t="str">
            <v>kg</v>
          </cell>
          <cell r="J30">
            <v>500</v>
          </cell>
        </row>
        <row r="31">
          <cell r="G31" t="str">
            <v>d16</v>
          </cell>
          <cell r="H31" t="str">
            <v>ThÐp trßn d=16mm</v>
          </cell>
          <cell r="I31" t="str">
            <v>kg</v>
          </cell>
          <cell r="J31">
            <v>4347.5591428571424</v>
          </cell>
        </row>
        <row r="32">
          <cell r="G32" t="str">
            <v>dia</v>
          </cell>
          <cell r="H32" t="str">
            <v xml:space="preserve">§inh ®Üa </v>
          </cell>
          <cell r="I32" t="str">
            <v>C¸i</v>
          </cell>
          <cell r="J32">
            <v>2380.9523809523807</v>
          </cell>
        </row>
        <row r="33">
          <cell r="G33" t="str">
            <v>gc</v>
          </cell>
          <cell r="H33" t="str">
            <v>gç v¸n cÇu c«ng t¸c</v>
          </cell>
          <cell r="I33" t="str">
            <v>m3</v>
          </cell>
          <cell r="J33">
            <v>2143480.1533333333</v>
          </cell>
        </row>
        <row r="34">
          <cell r="G34" t="str">
            <v>gg</v>
          </cell>
          <cell r="H34" t="str">
            <v>Gç chèng</v>
          </cell>
          <cell r="I34" t="str">
            <v>m3</v>
          </cell>
          <cell r="J34">
            <v>1279992.2066666668</v>
          </cell>
        </row>
        <row r="35">
          <cell r="G35" t="str">
            <v>ddap</v>
          </cell>
          <cell r="H35" t="str">
            <v>§Êt ®¾p</v>
          </cell>
          <cell r="I35" t="str">
            <v>m3</v>
          </cell>
          <cell r="J35">
            <v>2500</v>
          </cell>
        </row>
        <row r="36">
          <cell r="G36" t="str">
            <v>bl</v>
          </cell>
          <cell r="H36" t="str">
            <v>Bul«ng</v>
          </cell>
          <cell r="I36" t="str">
            <v>C¸i</v>
          </cell>
          <cell r="J36">
            <v>5000</v>
          </cell>
        </row>
        <row r="37">
          <cell r="G37" t="str">
            <v>vc</v>
          </cell>
          <cell r="H37" t="str">
            <v>V«i côc</v>
          </cell>
          <cell r="I37" t="str">
            <v>kg</v>
          </cell>
          <cell r="J37">
            <v>1000</v>
          </cell>
        </row>
        <row r="38">
          <cell r="G38" t="str">
            <v>bd</v>
          </cell>
          <cell r="H38" t="str">
            <v>Bét ®¸</v>
          </cell>
          <cell r="I38" t="str">
            <v>kg</v>
          </cell>
          <cell r="J38">
            <v>476.19047619047615</v>
          </cell>
        </row>
        <row r="39">
          <cell r="G39" t="str">
            <v>dt</v>
          </cell>
          <cell r="H39" t="str">
            <v>D©y thÐp d=3mm</v>
          </cell>
          <cell r="I39" t="str">
            <v>kg</v>
          </cell>
          <cell r="J39">
            <v>6333.333333333333</v>
          </cell>
        </row>
        <row r="40">
          <cell r="G40" t="str">
            <v>td</v>
          </cell>
          <cell r="H40" t="str">
            <v>T¨ng ®¬</v>
          </cell>
          <cell r="I40" t="str">
            <v>C¸i</v>
          </cell>
          <cell r="J40">
            <v>10000</v>
          </cell>
        </row>
        <row r="41">
          <cell r="G41" t="str">
            <v>bt</v>
          </cell>
          <cell r="H41" t="str">
            <v>Bao t¶i.</v>
          </cell>
          <cell r="I41" t="str">
            <v>m2</v>
          </cell>
          <cell r="J41">
            <v>3800</v>
          </cell>
        </row>
        <row r="42">
          <cell r="G42" t="str">
            <v>ds</v>
          </cell>
          <cell r="H42" t="str">
            <v>§Êt sÐt dÎo</v>
          </cell>
          <cell r="I42" t="str">
            <v>m3</v>
          </cell>
          <cell r="J42">
            <v>30000</v>
          </cell>
        </row>
        <row r="43">
          <cell r="G43" t="str">
            <v>ph</v>
          </cell>
          <cell r="H43" t="str">
            <v>PhÌn chua</v>
          </cell>
          <cell r="I43" t="str">
            <v>Kg</v>
          </cell>
          <cell r="J43">
            <v>10000</v>
          </cell>
        </row>
        <row r="44">
          <cell r="G44" t="str">
            <v>m16</v>
          </cell>
          <cell r="H44" t="str">
            <v>Bul«ng M16</v>
          </cell>
          <cell r="I44" t="str">
            <v>C¸i</v>
          </cell>
          <cell r="J44">
            <v>2500</v>
          </cell>
        </row>
        <row r="45">
          <cell r="G45" t="str">
            <v>x400</v>
          </cell>
          <cell r="H45" t="str">
            <v>Xim¨ng PC-400</v>
          </cell>
          <cell r="I45" t="str">
            <v>kg</v>
          </cell>
          <cell r="J45">
            <v>851.03723809523808</v>
          </cell>
        </row>
        <row r="46">
          <cell r="G46" t="str">
            <v>d8</v>
          </cell>
          <cell r="H46" t="str">
            <v>ThÐp trßn d=8mm</v>
          </cell>
          <cell r="I46" t="str">
            <v>kg</v>
          </cell>
          <cell r="J46">
            <v>4671.3686666666663</v>
          </cell>
        </row>
        <row r="47">
          <cell r="G47" t="str">
            <v>d10</v>
          </cell>
          <cell r="H47" t="str">
            <v>ThÐp trßn d=10mm</v>
          </cell>
          <cell r="I47" t="str">
            <v>kg</v>
          </cell>
          <cell r="J47">
            <v>4433.2730476190472</v>
          </cell>
        </row>
        <row r="48">
          <cell r="G48" t="str">
            <v>d14</v>
          </cell>
          <cell r="H48" t="str">
            <v>ThÐp trßn d=14mm</v>
          </cell>
          <cell r="I48" t="str">
            <v>kg</v>
          </cell>
          <cell r="J48">
            <v>4347.5591428571424</v>
          </cell>
        </row>
        <row r="49">
          <cell r="G49" t="str">
            <v>gid</v>
          </cell>
          <cell r="H49" t="str">
            <v>GiÊy dÇu</v>
          </cell>
          <cell r="I49" t="str">
            <v>m2</v>
          </cell>
          <cell r="J49">
            <v>7000</v>
          </cell>
        </row>
        <row r="50">
          <cell r="G50" t="str">
            <v>®ay</v>
          </cell>
          <cell r="H50" t="str">
            <v>§ay</v>
          </cell>
          <cell r="I50" t="str">
            <v>kg</v>
          </cell>
          <cell r="J50">
            <v>7000</v>
          </cell>
        </row>
        <row r="51">
          <cell r="G51" t="str">
            <v>xg</v>
          </cell>
          <cell r="H51" t="str">
            <v>X¨ng</v>
          </cell>
          <cell r="I51" t="str">
            <v>kg</v>
          </cell>
          <cell r="J51">
            <v>6440</v>
          </cell>
        </row>
        <row r="52">
          <cell r="G52" t="str">
            <v>«</v>
          </cell>
          <cell r="H52" t="str">
            <v>«xy</v>
          </cell>
          <cell r="I52" t="str">
            <v>chai</v>
          </cell>
          <cell r="J52">
            <v>53000</v>
          </cell>
        </row>
        <row r="53">
          <cell r="G53" t="str">
            <v>th</v>
          </cell>
          <cell r="H53" t="str">
            <v>ThÐp h×nh</v>
          </cell>
          <cell r="I53" t="str">
            <v>kg</v>
          </cell>
          <cell r="J53">
            <v>4671.3686666666663</v>
          </cell>
        </row>
        <row r="54">
          <cell r="G54" t="str">
            <v>t</v>
          </cell>
          <cell r="H54" t="str">
            <v>ThÐp b¶n</v>
          </cell>
          <cell r="I54" t="str">
            <v>kg</v>
          </cell>
          <cell r="J54">
            <v>4671.3686666666663</v>
          </cell>
        </row>
        <row r="55">
          <cell r="G55" t="str">
            <v>d18</v>
          </cell>
          <cell r="H55" t="str">
            <v>ThÐp trßn d=18mm</v>
          </cell>
          <cell r="I55" t="str">
            <v>kg</v>
          </cell>
          <cell r="J55">
            <v>4347.5591428571424</v>
          </cell>
        </row>
        <row r="56">
          <cell r="G56" t="str">
            <v>tba</v>
          </cell>
          <cell r="H56" t="str">
            <v>ThÐp b¶n</v>
          </cell>
          <cell r="I56" t="str">
            <v>kg</v>
          </cell>
          <cell r="J56">
            <v>4671.3686666666663</v>
          </cell>
        </row>
        <row r="57">
          <cell r="G57" t="str">
            <v>xb</v>
          </cell>
          <cell r="H57" t="str">
            <v>§¸ x« bå</v>
          </cell>
          <cell r="I57" t="str">
            <v>m3</v>
          </cell>
          <cell r="J57">
            <v>33333.333333333328</v>
          </cell>
        </row>
        <row r="58">
          <cell r="G58" t="str">
            <v>d22</v>
          </cell>
          <cell r="H58" t="str">
            <v>ThÐp trßn d=22mm</v>
          </cell>
          <cell r="I58" t="str">
            <v>kg</v>
          </cell>
          <cell r="J58">
            <v>4347.5591428571424</v>
          </cell>
        </row>
        <row r="59">
          <cell r="G59" t="str">
            <v>®</v>
          </cell>
          <cell r="H59" t="str">
            <v>§Êt ®Ìn</v>
          </cell>
          <cell r="I59" t="str">
            <v>kg</v>
          </cell>
          <cell r="J59">
            <v>8600</v>
          </cell>
        </row>
        <row r="60">
          <cell r="G60" t="str">
            <v>a</v>
          </cell>
          <cell r="H60" t="str">
            <v>Axªtylen</v>
          </cell>
          <cell r="I60" t="str">
            <v>Chai</v>
          </cell>
          <cell r="J60">
            <v>140000</v>
          </cell>
        </row>
        <row r="61">
          <cell r="G61" t="str">
            <v>m28</v>
          </cell>
          <cell r="H61" t="str">
            <v>Bul«ng M28x105</v>
          </cell>
          <cell r="I61" t="str">
            <v>C¸i</v>
          </cell>
          <cell r="J61">
            <v>5600</v>
          </cell>
        </row>
        <row r="62">
          <cell r="G62" t="str">
            <v>dau</v>
          </cell>
          <cell r="H62" t="str">
            <v>DÇu b«i tr¬n</v>
          </cell>
          <cell r="I62" t="str">
            <v>kg</v>
          </cell>
          <cell r="J62">
            <v>2500</v>
          </cell>
        </row>
        <row r="63">
          <cell r="G63" t="str">
            <v>pc</v>
          </cell>
          <cell r="H63" t="str">
            <v>PhÌn chua</v>
          </cell>
          <cell r="I63" t="str">
            <v>kg</v>
          </cell>
          <cell r="J63">
            <v>9600</v>
          </cell>
        </row>
        <row r="64">
          <cell r="G64" t="str">
            <v>gmc</v>
          </cell>
          <cell r="H64" t="str">
            <v>Gç mÆt cÇu</v>
          </cell>
          <cell r="I64" t="str">
            <v>m3</v>
          </cell>
          <cell r="J64">
            <v>2143480.1533333333</v>
          </cell>
        </row>
        <row r="65">
          <cell r="G65" t="str">
            <v>cc</v>
          </cell>
          <cell r="H65" t="str">
            <v>C©y chèng</v>
          </cell>
          <cell r="I65" t="str">
            <v>C©y</v>
          </cell>
          <cell r="J65">
            <v>8000</v>
          </cell>
        </row>
        <row r="66">
          <cell r="G66" t="str">
            <v>db</v>
          </cell>
          <cell r="H66" t="str">
            <v>D©y buéc</v>
          </cell>
          <cell r="I66" t="str">
            <v>kg</v>
          </cell>
          <cell r="J66">
            <v>6045.454545454545</v>
          </cell>
        </row>
        <row r="67">
          <cell r="G67" t="str">
            <v>d20</v>
          </cell>
          <cell r="H67" t="str">
            <v>ThÐp trßn d=20mm</v>
          </cell>
          <cell r="I67" t="str">
            <v>kg</v>
          </cell>
          <cell r="J67">
            <v>4347.5591428571424</v>
          </cell>
        </row>
        <row r="68">
          <cell r="G68" t="str">
            <v>d25</v>
          </cell>
          <cell r="H68" t="str">
            <v>ThÐp trßn d=25mm</v>
          </cell>
          <cell r="I68" t="str">
            <v>kg</v>
          </cell>
          <cell r="J68">
            <v>4347.5591428571424</v>
          </cell>
        </row>
        <row r="69">
          <cell r="G69" t="str">
            <v>sp</v>
          </cell>
          <cell r="H69" t="str">
            <v>S¬n ph¶n quang</v>
          </cell>
          <cell r="I69" t="str">
            <v>kg</v>
          </cell>
          <cell r="J69">
            <v>80000</v>
          </cell>
        </row>
        <row r="70">
          <cell r="G70" t="str">
            <v>0.5btn</v>
          </cell>
          <cell r="H70" t="str">
            <v>§¸ 0,5x1 (20%)</v>
          </cell>
          <cell r="I70" t="str">
            <v>m3</v>
          </cell>
          <cell r="J70">
            <v>176948.49523809523</v>
          </cell>
        </row>
        <row r="71">
          <cell r="G71" t="str">
            <v>1btn</v>
          </cell>
          <cell r="H71" t="str">
            <v>§¸ 1x2 (30%)</v>
          </cell>
          <cell r="I71" t="str">
            <v>m3</v>
          </cell>
          <cell r="J71">
            <v>176948.49523809523</v>
          </cell>
        </row>
        <row r="72">
          <cell r="G72" t="str">
            <v>cbtn</v>
          </cell>
          <cell r="H72" t="str">
            <v>C¸t (43%)</v>
          </cell>
          <cell r="I72" t="str">
            <v>m3</v>
          </cell>
          <cell r="J72">
            <v>147541.19999999998</v>
          </cell>
        </row>
        <row r="73">
          <cell r="G73" t="str">
            <v>nbtn</v>
          </cell>
          <cell r="H73" t="str">
            <v>Nhùa (5,8%)</v>
          </cell>
          <cell r="I73" t="str">
            <v>kg</v>
          </cell>
          <cell r="J73">
            <v>3689.18</v>
          </cell>
        </row>
        <row r="74">
          <cell r="G74" t="str">
            <v>#p</v>
          </cell>
          <cell r="H74" t="str">
            <v>VËt liÖu phô</v>
          </cell>
          <cell r="I74" t="str">
            <v>%</v>
          </cell>
        </row>
        <row r="75">
          <cell r="G75" t="str">
            <v>&gt;18</v>
          </cell>
          <cell r="H75" t="str">
            <v>ThÐp trßn d&gt;18mm</v>
          </cell>
          <cell r="I75" t="str">
            <v>kg</v>
          </cell>
        </row>
        <row r="76">
          <cell r="G76" t="str">
            <v>dmn</v>
          </cell>
          <cell r="H76" t="str">
            <v>§¸ m¹t (18%)</v>
          </cell>
          <cell r="I76" t="str">
            <v>m3</v>
          </cell>
          <cell r="J76">
            <v>0</v>
          </cell>
        </row>
        <row r="77">
          <cell r="G77" t="str">
            <v>am</v>
          </cell>
          <cell r="H77" t="str">
            <v>§¸ d¨m</v>
          </cell>
          <cell r="I77" t="str">
            <v>m3</v>
          </cell>
        </row>
        <row r="78">
          <cell r="G78" t="str">
            <v>dm</v>
          </cell>
          <cell r="H78" t="str">
            <v>§¸ m¹t</v>
          </cell>
          <cell r="I78" t="str">
            <v>m3</v>
          </cell>
        </row>
        <row r="79">
          <cell r="G79" t="str">
            <v>ddtc</v>
          </cell>
          <cell r="H79" t="str">
            <v>§¸ d¨m tiªu chuÈn</v>
          </cell>
          <cell r="I79" t="str">
            <v>m3</v>
          </cell>
        </row>
        <row r="80">
          <cell r="G80" t="str">
            <v>dhc</v>
          </cell>
          <cell r="H80" t="str">
            <v>§Êt h÷u c¬</v>
          </cell>
          <cell r="I80" t="str">
            <v>m3</v>
          </cell>
        </row>
        <row r="81">
          <cell r="G81" t="str">
            <v>dg</v>
          </cell>
          <cell r="H81" t="str">
            <v>§inh ®­êng</v>
          </cell>
          <cell r="I81" t="str">
            <v>C¸i</v>
          </cell>
        </row>
        <row r="82">
          <cell r="G82" t="str">
            <v>cr</v>
          </cell>
          <cell r="H82" t="str">
            <v>§inh Cr¨mpong</v>
          </cell>
          <cell r="I82" t="str">
            <v>C¸i</v>
          </cell>
          <cell r="J82">
            <v>2500</v>
          </cell>
        </row>
        <row r="83">
          <cell r="G83" t="str">
            <v>m20</v>
          </cell>
          <cell r="H83" t="str">
            <v>Bul«ng M20</v>
          </cell>
          <cell r="I83" t="str">
            <v>C¸i</v>
          </cell>
          <cell r="J83">
            <v>5000</v>
          </cell>
        </row>
        <row r="84">
          <cell r="G84" t="str">
            <v>cgo</v>
          </cell>
          <cell r="H84" t="str">
            <v>Cäc gç d=8-10cm</v>
          </cell>
          <cell r="I84" t="str">
            <v>m</v>
          </cell>
        </row>
        <row r="85">
          <cell r="G85" t="str">
            <v>ctre</v>
          </cell>
          <cell r="H85" t="str">
            <v>Cäc tre</v>
          </cell>
          <cell r="I85" t="str">
            <v>m</v>
          </cell>
        </row>
        <row r="86">
          <cell r="G86" t="str">
            <v>ct</v>
          </cell>
          <cell r="H86" t="str">
            <v>Cèt thÐp</v>
          </cell>
          <cell r="I86" t="str">
            <v>kg</v>
          </cell>
        </row>
        <row r="87">
          <cell r="G87" t="str">
            <v>day</v>
          </cell>
          <cell r="H87" t="str">
            <v>D©y</v>
          </cell>
          <cell r="I87" t="str">
            <v>kg</v>
          </cell>
        </row>
        <row r="88">
          <cell r="G88" t="str">
            <v>o</v>
          </cell>
          <cell r="H88" t="str">
            <v>èng ®æ d=300</v>
          </cell>
          <cell r="I88" t="str">
            <v xml:space="preserve">m </v>
          </cell>
        </row>
        <row r="89">
          <cell r="G89" t="str">
            <v>o60</v>
          </cell>
          <cell r="H89" t="str">
            <v>èng d=60cm; L=4m</v>
          </cell>
          <cell r="I89" t="str">
            <v>èng</v>
          </cell>
        </row>
        <row r="90">
          <cell r="G90" t="str">
            <v>o100</v>
          </cell>
          <cell r="H90" t="str">
            <v>èng d=100cm; L=1m</v>
          </cell>
          <cell r="I90" t="str">
            <v>m</v>
          </cell>
        </row>
        <row r="91">
          <cell r="G91" t="str">
            <v>on</v>
          </cell>
          <cell r="H91" t="str">
            <v>èng nèi</v>
          </cell>
          <cell r="I91" t="str">
            <v>m</v>
          </cell>
        </row>
        <row r="92">
          <cell r="G92" t="str">
            <v>ot</v>
          </cell>
          <cell r="H92" t="str">
            <v>èng thÐp luån c¸p</v>
          </cell>
          <cell r="I92" t="str">
            <v>m</v>
          </cell>
        </row>
        <row r="93">
          <cell r="G93" t="str">
            <v>g25x25</v>
          </cell>
          <cell r="H93" t="str">
            <v>G¹ch 25x25</v>
          </cell>
          <cell r="I93" t="str">
            <v>Viªn</v>
          </cell>
        </row>
        <row r="94">
          <cell r="G94" t="str">
            <v>go</v>
          </cell>
          <cell r="H94" t="str">
            <v>G¹ch èng 10x10x20</v>
          </cell>
          <cell r="I94" t="str">
            <v>viªn</v>
          </cell>
        </row>
        <row r="95">
          <cell r="G95" t="str">
            <v>gt</v>
          </cell>
          <cell r="H95" t="str">
            <v xml:space="preserve">G¹ch thÎ </v>
          </cell>
          <cell r="I95" t="str">
            <v>viªn</v>
          </cell>
        </row>
        <row r="96">
          <cell r="G96" t="str">
            <v>gk</v>
          </cell>
          <cell r="H96" t="str">
            <v>Gç kª</v>
          </cell>
          <cell r="I96" t="str">
            <v>m3</v>
          </cell>
          <cell r="J96">
            <v>1279992.2066666668</v>
          </cell>
        </row>
        <row r="97">
          <cell r="G97" t="str">
            <v>gd</v>
          </cell>
          <cell r="H97" t="str">
            <v>Gç lµm khe co gian</v>
          </cell>
          <cell r="I97" t="str">
            <v>m3</v>
          </cell>
        </row>
        <row r="98">
          <cell r="G98" t="str">
            <v>ll</v>
          </cell>
          <cell r="H98" t="str">
            <v>LËp l¸ch</v>
          </cell>
          <cell r="I98" t="str">
            <v xml:space="preserve">bé </v>
          </cell>
          <cell r="J98">
            <v>200000</v>
          </cell>
        </row>
        <row r="99">
          <cell r="G99" t="str">
            <v>lc</v>
          </cell>
          <cell r="H99" t="str">
            <v>L­ìi c­a s¾t</v>
          </cell>
          <cell r="I99" t="str">
            <v>C¸i</v>
          </cell>
          <cell r="J99">
            <v>216</v>
          </cell>
        </row>
        <row r="100">
          <cell r="G100" t="str">
            <v>lt</v>
          </cell>
          <cell r="H100" t="str">
            <v>L­íi thÐp ®Þnh vÞ</v>
          </cell>
          <cell r="I100" t="str">
            <v>kg</v>
          </cell>
          <cell r="J100">
            <v>72</v>
          </cell>
        </row>
        <row r="101">
          <cell r="G101" t="str">
            <v>nt</v>
          </cell>
          <cell r="H101" t="str">
            <v>Nhò t­¬ng 60% nhùa</v>
          </cell>
          <cell r="I101" t="str">
            <v>Kg</v>
          </cell>
          <cell r="J101">
            <v>60</v>
          </cell>
        </row>
        <row r="102">
          <cell r="G102" t="str">
            <v>r</v>
          </cell>
          <cell r="H102" t="str">
            <v>Ray</v>
          </cell>
          <cell r="I102" t="str">
            <v>kg</v>
          </cell>
          <cell r="J102">
            <v>4500</v>
          </cell>
        </row>
        <row r="103">
          <cell r="G103" t="str">
            <v>tv</v>
          </cell>
          <cell r="H103" t="str">
            <v>Tµ vÑt gç (14x20x180)</v>
          </cell>
          <cell r="I103" t="str">
            <v>thanh</v>
          </cell>
          <cell r="J103">
            <v>108031.39972800002</v>
          </cell>
        </row>
        <row r="104">
          <cell r="G104" t="str">
            <v>gcn</v>
          </cell>
          <cell r="H104" t="str">
            <v>Gç chång nÒ (14x18x140)</v>
          </cell>
          <cell r="I104" t="str">
            <v>thanh</v>
          </cell>
          <cell r="J104">
            <v>75621.979809600001</v>
          </cell>
        </row>
        <row r="105">
          <cell r="G105" t="str">
            <v>tg</v>
          </cell>
          <cell r="H105" t="str">
            <v>ThÐp gãc</v>
          </cell>
          <cell r="I105" t="str">
            <v>kg</v>
          </cell>
          <cell r="J105">
            <v>0</v>
          </cell>
        </row>
        <row r="106">
          <cell r="G106" t="str">
            <v>i</v>
          </cell>
          <cell r="H106" t="str">
            <v>ThÐp I</v>
          </cell>
          <cell r="I106" t="str">
            <v>kg</v>
          </cell>
          <cell r="J106">
            <v>0</v>
          </cell>
        </row>
        <row r="107">
          <cell r="G107" t="str">
            <v>tr</v>
          </cell>
          <cell r="H107" t="str">
            <v>ThÐp trßn</v>
          </cell>
          <cell r="I107" t="str">
            <v>kg</v>
          </cell>
          <cell r="J107">
            <v>4671.3686666666663</v>
          </cell>
        </row>
        <row r="108">
          <cell r="G108">
            <v>10</v>
          </cell>
          <cell r="H108" t="str">
            <v>ThÐp trßn d&lt;=10mm</v>
          </cell>
          <cell r="I108" t="str">
            <v>kg</v>
          </cell>
        </row>
        <row r="109">
          <cell r="G109" t="str">
            <v>t4-6</v>
          </cell>
          <cell r="H109" t="str">
            <v>ThÐp trßn d=4-6mm</v>
          </cell>
          <cell r="I109" t="str">
            <v>kg</v>
          </cell>
        </row>
        <row r="110">
          <cell r="G110" t="str">
            <v>d4</v>
          </cell>
          <cell r="H110" t="str">
            <v>ThÐp trßn d=4mm</v>
          </cell>
          <cell r="I110" t="str">
            <v>kg</v>
          </cell>
        </row>
        <row r="111">
          <cell r="G111" t="str">
            <v>d32</v>
          </cell>
          <cell r="H111" t="str">
            <v>ThÐp trßn d=32mm</v>
          </cell>
          <cell r="I111" t="str">
            <v>kg</v>
          </cell>
          <cell r="J111">
            <v>4347.5591428571424</v>
          </cell>
        </row>
        <row r="112">
          <cell r="G112" t="str">
            <v>&gt;10</v>
          </cell>
          <cell r="H112" t="str">
            <v>ThÐp trßn d&gt;10mm</v>
          </cell>
          <cell r="I112" t="str">
            <v>kg</v>
          </cell>
        </row>
        <row r="113">
          <cell r="G113" t="str">
            <v>vl</v>
          </cell>
          <cell r="H113" t="str">
            <v>V÷a lãt</v>
          </cell>
          <cell r="I113" t="str">
            <v>m3</v>
          </cell>
        </row>
        <row r="114">
          <cell r="G114" t="str">
            <v>vu</v>
          </cell>
          <cell r="H114" t="str">
            <v>V÷a M</v>
          </cell>
          <cell r="I114" t="str">
            <v>m3</v>
          </cell>
        </row>
        <row r="115">
          <cell r="G115" t="str">
            <v>bbcn</v>
          </cell>
          <cell r="H115" t="str">
            <v>BiÓn b¸o tªn cÇu</v>
          </cell>
          <cell r="I115" t="str">
            <v>C¸i</v>
          </cell>
          <cell r="J115">
            <v>450000</v>
          </cell>
        </row>
        <row r="116">
          <cell r="G116" t="str">
            <v>vmm</v>
          </cell>
          <cell r="H116" t="str">
            <v xml:space="preserve">V÷a miÕt m¹ch </v>
          </cell>
          <cell r="I116" t="str">
            <v>m3</v>
          </cell>
        </row>
        <row r="117">
          <cell r="G117" t="str">
            <v>xmt</v>
          </cell>
          <cell r="H117" t="str">
            <v>Xim¨ng tr¾ng</v>
          </cell>
          <cell r="I117" t="str">
            <v>kg</v>
          </cell>
          <cell r="J117">
            <v>12517</v>
          </cell>
        </row>
        <row r="118">
          <cell r="G118" t="str">
            <v>Tra nh©n c«ng</v>
          </cell>
          <cell r="J118" t="str">
            <v>§­êng</v>
          </cell>
        </row>
        <row r="119">
          <cell r="G119">
            <v>2.5</v>
          </cell>
          <cell r="H119" t="str">
            <v>Nh©n c«ng bËc 2,5/7</v>
          </cell>
          <cell r="I119" t="str">
            <v xml:space="preserve">C«ng </v>
          </cell>
          <cell r="J119">
            <v>12517</v>
          </cell>
        </row>
        <row r="120">
          <cell r="G120">
            <v>2.7</v>
          </cell>
          <cell r="H120" t="str">
            <v>Nh©n c«ng bËc 2,7/7</v>
          </cell>
          <cell r="I120" t="str">
            <v xml:space="preserve">C«ng </v>
          </cell>
          <cell r="J120">
            <v>12755</v>
          </cell>
        </row>
        <row r="121">
          <cell r="G121">
            <v>3</v>
          </cell>
          <cell r="H121" t="str">
            <v>Nh©n c«ng bËc 3,0/7</v>
          </cell>
          <cell r="I121" t="str">
            <v xml:space="preserve">C«ng </v>
          </cell>
          <cell r="J121">
            <v>13111</v>
          </cell>
        </row>
        <row r="122">
          <cell r="G122">
            <v>3.2</v>
          </cell>
          <cell r="H122" t="str">
            <v>Nh©n c«ng bËc 3,2/7</v>
          </cell>
          <cell r="I122" t="str">
            <v xml:space="preserve">C«ng </v>
          </cell>
          <cell r="J122">
            <v>13390</v>
          </cell>
        </row>
        <row r="123">
          <cell r="G123">
            <v>3.5</v>
          </cell>
          <cell r="H123" t="str">
            <v>Nh©n c«ng bËc 3,5/7</v>
          </cell>
          <cell r="I123" t="str">
            <v xml:space="preserve">C«ng </v>
          </cell>
          <cell r="J123">
            <v>13808</v>
          </cell>
        </row>
        <row r="124">
          <cell r="G124">
            <v>3.7</v>
          </cell>
          <cell r="H124" t="str">
            <v>Nh©n c«ng bËc 3,7/7</v>
          </cell>
          <cell r="I124" t="str">
            <v xml:space="preserve">C«ng </v>
          </cell>
          <cell r="J124">
            <v>14088</v>
          </cell>
        </row>
        <row r="125">
          <cell r="G125" t="str">
            <v>n4</v>
          </cell>
          <cell r="H125" t="str">
            <v>Nh©n c«ng bËc 4,0/7</v>
          </cell>
          <cell r="I125" t="str">
            <v xml:space="preserve">C«ng </v>
          </cell>
          <cell r="J125">
            <v>14506</v>
          </cell>
        </row>
        <row r="126">
          <cell r="G126">
            <v>4.5</v>
          </cell>
          <cell r="H126" t="str">
            <v>Nh©n c«ng bËc 4,5/7</v>
          </cell>
          <cell r="I126" t="str">
            <v xml:space="preserve">C«ng </v>
          </cell>
          <cell r="J126">
            <v>15937</v>
          </cell>
        </row>
        <row r="127">
          <cell r="J127" t="str">
            <v>cÇu</v>
          </cell>
        </row>
        <row r="128">
          <cell r="G128" t="str">
            <v>2,5c</v>
          </cell>
          <cell r="H128" t="str">
            <v>Nh©n c«ng bËc 2,5/7</v>
          </cell>
          <cell r="I128" t="str">
            <v xml:space="preserve">C«ng </v>
          </cell>
          <cell r="J128">
            <v>13215</v>
          </cell>
        </row>
        <row r="129">
          <cell r="G129" t="str">
            <v>2,7c</v>
          </cell>
          <cell r="H129" t="str">
            <v>Nh©n c«ng bËc 2,7/7</v>
          </cell>
          <cell r="I129" t="str">
            <v xml:space="preserve">C«ng </v>
          </cell>
          <cell r="J129">
            <v>13481</v>
          </cell>
        </row>
        <row r="130">
          <cell r="G130" t="str">
            <v>3c</v>
          </cell>
          <cell r="H130" t="str">
            <v>Nh©n c«ng bËc 3,0/7</v>
          </cell>
          <cell r="I130" t="str">
            <v xml:space="preserve">C«ng </v>
          </cell>
          <cell r="J130">
            <v>13878</v>
          </cell>
        </row>
        <row r="131">
          <cell r="G131" t="str">
            <v>3,2c</v>
          </cell>
          <cell r="H131" t="str">
            <v>Nh©n c«ng bËc 3,2/7</v>
          </cell>
          <cell r="I131" t="str">
            <v xml:space="preserve">C«ng </v>
          </cell>
          <cell r="J131">
            <v>14171</v>
          </cell>
        </row>
        <row r="132">
          <cell r="G132" t="str">
            <v>3,5c</v>
          </cell>
          <cell r="H132" t="str">
            <v>Nh©n c«ng bËc 3,5/7</v>
          </cell>
          <cell r="I132" t="str">
            <v xml:space="preserve">C«ng </v>
          </cell>
          <cell r="J132">
            <v>14611</v>
          </cell>
        </row>
        <row r="133">
          <cell r="G133" t="str">
            <v>3,7c</v>
          </cell>
          <cell r="H133" t="str">
            <v>Nh©n c«ng bËc 3,7/7</v>
          </cell>
          <cell r="I133" t="str">
            <v xml:space="preserve">C«ng </v>
          </cell>
          <cell r="J133">
            <v>14904</v>
          </cell>
        </row>
        <row r="134">
          <cell r="G134" t="str">
            <v>4c</v>
          </cell>
          <cell r="H134" t="str">
            <v>Nh©n c«ng bËc 4,0/7</v>
          </cell>
          <cell r="I134" t="str">
            <v xml:space="preserve">C«ng </v>
          </cell>
          <cell r="J134">
            <v>15344</v>
          </cell>
        </row>
        <row r="135">
          <cell r="G135" t="str">
            <v>4,5c</v>
          </cell>
          <cell r="H135" t="str">
            <v>Nh©n c«ng bËc 4,5/7</v>
          </cell>
          <cell r="I135" t="str">
            <v xml:space="preserve">C«ng </v>
          </cell>
          <cell r="J135">
            <v>16914</v>
          </cell>
        </row>
        <row r="137">
          <cell r="G137" t="str">
            <v>TRA MAÏY TC</v>
          </cell>
        </row>
        <row r="138">
          <cell r="G138" t="str">
            <v>bv</v>
          </cell>
          <cell r="H138" t="str">
            <v>B¬m v÷a XM</v>
          </cell>
          <cell r="I138" t="str">
            <v>Ca</v>
          </cell>
          <cell r="J138">
            <v>125828</v>
          </cell>
        </row>
        <row r="139">
          <cell r="G139" t="str">
            <v>mr50</v>
          </cell>
          <cell r="H139" t="str">
            <v>M¸y r¶i 50-60m3/h</v>
          </cell>
          <cell r="I139" t="str">
            <v>Ca</v>
          </cell>
          <cell r="J139">
            <v>1177680</v>
          </cell>
        </row>
        <row r="140">
          <cell r="G140" t="str">
            <v>c10t</v>
          </cell>
          <cell r="H140" t="str">
            <v>CÈu 10T</v>
          </cell>
          <cell r="I140" t="str">
            <v>Ca</v>
          </cell>
          <cell r="J140">
            <v>615511</v>
          </cell>
        </row>
        <row r="141">
          <cell r="G141" t="str">
            <v>c5t</v>
          </cell>
          <cell r="H141" t="str">
            <v>CÈu 5T</v>
          </cell>
          <cell r="I141" t="str">
            <v>Ca</v>
          </cell>
          <cell r="J141">
            <v>292034</v>
          </cell>
        </row>
        <row r="142">
          <cell r="G142" t="str">
            <v>c16t</v>
          </cell>
          <cell r="H142" t="str">
            <v>CÈu 16T</v>
          </cell>
          <cell r="I142" t="str">
            <v>Ca</v>
          </cell>
          <cell r="J142">
            <v>823425</v>
          </cell>
        </row>
        <row r="143">
          <cell r="G143" t="str">
            <v>c25T</v>
          </cell>
          <cell r="H143" t="str">
            <v>CÈu 25T</v>
          </cell>
          <cell r="I143" t="str">
            <v>Ca</v>
          </cell>
          <cell r="J143">
            <v>1148366</v>
          </cell>
        </row>
        <row r="144">
          <cell r="G144" t="str">
            <v>50t</v>
          </cell>
          <cell r="H144" t="str">
            <v>CÈu xÝch 50T</v>
          </cell>
          <cell r="I144" t="str">
            <v>Ca</v>
          </cell>
          <cell r="J144">
            <v>1639226</v>
          </cell>
        </row>
        <row r="145">
          <cell r="G145" t="str">
            <v>k250</v>
          </cell>
          <cell r="H145" t="str">
            <v>KÝch 250T</v>
          </cell>
          <cell r="I145" t="str">
            <v>Ca</v>
          </cell>
          <cell r="J145">
            <v>86813</v>
          </cell>
        </row>
        <row r="146">
          <cell r="G146" t="str">
            <v>k500</v>
          </cell>
          <cell r="H146" t="str">
            <v>KÝch 500T</v>
          </cell>
          <cell r="I146" t="str">
            <v>Ca</v>
          </cell>
          <cell r="J146">
            <v>102248</v>
          </cell>
        </row>
        <row r="147">
          <cell r="G147" t="str">
            <v>db1</v>
          </cell>
          <cell r="H147" t="str">
            <v>M¸y ®Çm bµn 1KW</v>
          </cell>
          <cell r="I147" t="str">
            <v>Ca</v>
          </cell>
          <cell r="J147">
            <v>32525</v>
          </cell>
        </row>
        <row r="148">
          <cell r="G148" t="str">
            <v>b75</v>
          </cell>
          <cell r="H148" t="str">
            <v>M¸y b¬m n­íc 75CV</v>
          </cell>
          <cell r="I148" t="str">
            <v>Ca</v>
          </cell>
          <cell r="J148">
            <v>466499</v>
          </cell>
        </row>
        <row r="149">
          <cell r="G149" t="str">
            <v>b20</v>
          </cell>
          <cell r="H149" t="str">
            <v>M¸y b¬m n­íc 20CV</v>
          </cell>
          <cell r="I149" t="str">
            <v>Ca</v>
          </cell>
          <cell r="J149">
            <v>140009</v>
          </cell>
        </row>
        <row r="150">
          <cell r="G150" t="str">
            <v>cg</v>
          </cell>
          <cell r="H150" t="str">
            <v>M¸y c¾t èng</v>
          </cell>
          <cell r="I150" t="str">
            <v>Ca</v>
          </cell>
          <cell r="J150">
            <v>46496</v>
          </cell>
        </row>
        <row r="151">
          <cell r="G151" t="str">
            <v>cth</v>
          </cell>
          <cell r="H151" t="str">
            <v>M¸y c¾t thÐp</v>
          </cell>
          <cell r="I151" t="str">
            <v>Ca</v>
          </cell>
          <cell r="J151">
            <v>164322</v>
          </cell>
        </row>
        <row r="152">
          <cell r="G152" t="str">
            <v>cong</v>
          </cell>
          <cell r="H152" t="str">
            <v>M¸y cuèn èng</v>
          </cell>
          <cell r="I152" t="str">
            <v>Ca</v>
          </cell>
          <cell r="J152">
            <v>43589</v>
          </cell>
        </row>
        <row r="153">
          <cell r="G153" t="str">
            <v>h23</v>
          </cell>
          <cell r="H153" t="str">
            <v>M¸y hµn 23KW</v>
          </cell>
          <cell r="I153" t="str">
            <v>Ca</v>
          </cell>
          <cell r="J153">
            <v>77338</v>
          </cell>
        </row>
        <row r="154">
          <cell r="G154" t="str">
            <v>m#</v>
          </cell>
          <cell r="H154" t="str">
            <v>M¸y kh¸c</v>
          </cell>
          <cell r="I154" t="str">
            <v>%</v>
          </cell>
        </row>
        <row r="155">
          <cell r="G155" t="str">
            <v>nk</v>
          </cell>
          <cell r="H155" t="str">
            <v>M¸y nÐn khÝ 10m3/h</v>
          </cell>
          <cell r="I155" t="str">
            <v>Ca</v>
          </cell>
          <cell r="J155">
            <v>28854</v>
          </cell>
        </row>
        <row r="156">
          <cell r="G156" t="str">
            <v>250l</v>
          </cell>
          <cell r="H156" t="str">
            <v>M¸y trén 250l</v>
          </cell>
          <cell r="I156" t="str">
            <v>Ca</v>
          </cell>
          <cell r="J156">
            <v>96272</v>
          </cell>
        </row>
        <row r="157">
          <cell r="G157" t="str">
            <v>80l</v>
          </cell>
          <cell r="H157" t="str">
            <v>M¸y trén v÷a 80l</v>
          </cell>
          <cell r="I157" t="str">
            <v>Ca</v>
          </cell>
          <cell r="J157">
            <v>45294</v>
          </cell>
        </row>
        <row r="158">
          <cell r="G158" t="str">
            <v>vt</v>
          </cell>
          <cell r="H158" t="str">
            <v>M¸y vËn th¨ng 0,8T</v>
          </cell>
          <cell r="I158" t="str">
            <v>Ca</v>
          </cell>
          <cell r="J158">
            <v>54495</v>
          </cell>
        </row>
        <row r="159">
          <cell r="G159" t="str">
            <v>pl3</v>
          </cell>
          <cell r="H159" t="str">
            <v>Pal¨ng xÝch 3T</v>
          </cell>
          <cell r="I159" t="str">
            <v>Ca</v>
          </cell>
          <cell r="J159">
            <v>90447</v>
          </cell>
        </row>
        <row r="160">
          <cell r="G160" t="str">
            <v>200t</v>
          </cell>
          <cell r="H160" t="str">
            <v>Sµ lan 200T</v>
          </cell>
          <cell r="I160" t="str">
            <v>Ca</v>
          </cell>
          <cell r="J160">
            <v>325023</v>
          </cell>
        </row>
        <row r="161">
          <cell r="G161" t="str">
            <v>400t</v>
          </cell>
          <cell r="H161" t="str">
            <v>Sµ lan 400T</v>
          </cell>
          <cell r="I161" t="str">
            <v>Ca</v>
          </cell>
          <cell r="J161">
            <v>670875</v>
          </cell>
        </row>
        <row r="162">
          <cell r="G162" t="str">
            <v>toi5</v>
          </cell>
          <cell r="H162" t="str">
            <v>Têi ®iÖn 5T</v>
          </cell>
          <cell r="I162" t="str">
            <v>Ca</v>
          </cell>
          <cell r="J162">
            <v>70440</v>
          </cell>
        </row>
        <row r="163">
          <cell r="G163" t="str">
            <v>150cv</v>
          </cell>
          <cell r="H163" t="str">
            <v>Tµu kÐo 150cv</v>
          </cell>
          <cell r="I163" t="str">
            <v>Ca</v>
          </cell>
          <cell r="J163">
            <v>775474</v>
          </cell>
        </row>
        <row r="164">
          <cell r="G164" t="str">
            <v>ld</v>
          </cell>
          <cell r="H164" t="str">
            <v>Xe lao dÇm</v>
          </cell>
          <cell r="I164" t="str">
            <v>Ca</v>
          </cell>
          <cell r="J164">
            <v>2382049</v>
          </cell>
        </row>
        <row r="165">
          <cell r="G165" t="str">
            <v>mu110</v>
          </cell>
          <cell r="H165" t="str">
            <v>M¸y ñi 110cv</v>
          </cell>
          <cell r="I165" t="str">
            <v>Ca</v>
          </cell>
          <cell r="J165">
            <v>669348</v>
          </cell>
        </row>
        <row r="166">
          <cell r="G166" t="str">
            <v>ms110</v>
          </cell>
          <cell r="H166" t="str">
            <v>M¸y san 110cv</v>
          </cell>
          <cell r="I166" t="str">
            <v>Ca</v>
          </cell>
          <cell r="J166">
            <v>584271</v>
          </cell>
        </row>
        <row r="167">
          <cell r="G167" t="str">
            <v>dbl25</v>
          </cell>
          <cell r="H167" t="str">
            <v>§Çm b¸nh lèp 25T</v>
          </cell>
          <cell r="I167" t="str">
            <v>Ca</v>
          </cell>
          <cell r="J167">
            <v>505651</v>
          </cell>
        </row>
        <row r="168">
          <cell r="G168" t="str">
            <v>ottn5</v>
          </cell>
          <cell r="H168" t="str">
            <v>¤t« t­íi n­íc 5m3</v>
          </cell>
          <cell r="I168" t="str">
            <v>Ca</v>
          </cell>
          <cell r="J168">
            <v>343052</v>
          </cell>
        </row>
        <row r="169">
          <cell r="G169" t="str">
            <v>md25</v>
          </cell>
          <cell r="H169" t="str">
            <v>M¸y ®Çm 25T</v>
          </cell>
          <cell r="I169" t="str">
            <v>Ca</v>
          </cell>
          <cell r="J169">
            <v>505651</v>
          </cell>
        </row>
        <row r="170">
          <cell r="G170" t="str">
            <v>md9</v>
          </cell>
          <cell r="H170" t="str">
            <v>M¸y ®Çm 9T</v>
          </cell>
          <cell r="I170" t="str">
            <v>Ca</v>
          </cell>
          <cell r="J170">
            <v>443844</v>
          </cell>
        </row>
        <row r="171">
          <cell r="G171" t="str">
            <v>mr</v>
          </cell>
          <cell r="H171" t="str">
            <v>M¸y r¶i 20T/h</v>
          </cell>
          <cell r="I171" t="str">
            <v>Ca</v>
          </cell>
          <cell r="J171">
            <v>643252</v>
          </cell>
        </row>
        <row r="172">
          <cell r="G172" t="str">
            <v>l10</v>
          </cell>
          <cell r="H172" t="str">
            <v>Lu 10T</v>
          </cell>
          <cell r="I172" t="str">
            <v>Ca</v>
          </cell>
          <cell r="J172">
            <v>288922</v>
          </cell>
        </row>
        <row r="173">
          <cell r="G173" t="str">
            <v>l8.5</v>
          </cell>
          <cell r="H173" t="str">
            <v>M¸y lu 8.5T</v>
          </cell>
          <cell r="I173" t="str">
            <v>Ca</v>
          </cell>
          <cell r="J173">
            <v>252823</v>
          </cell>
        </row>
        <row r="174">
          <cell r="G174" t="str">
            <v>lbl16</v>
          </cell>
          <cell r="H174" t="str">
            <v>Lu b¸nh lèp 16T</v>
          </cell>
          <cell r="I174" t="str">
            <v>Ca</v>
          </cell>
          <cell r="J174">
            <v>432053</v>
          </cell>
        </row>
        <row r="175">
          <cell r="G175" t="str">
            <v>tt20-25</v>
          </cell>
          <cell r="H175" t="str">
            <v>Tr¹m trén 20-25T/h</v>
          </cell>
          <cell r="I175" t="str">
            <v>Ca</v>
          </cell>
          <cell r="J175">
            <v>5156262</v>
          </cell>
        </row>
        <row r="176">
          <cell r="G176" t="str">
            <v>mx0.6</v>
          </cell>
          <cell r="H176" t="str">
            <v>M¸y xóc 0,6m3</v>
          </cell>
          <cell r="I176" t="str">
            <v>Ca</v>
          </cell>
          <cell r="J176">
            <v>469958</v>
          </cell>
        </row>
        <row r="177">
          <cell r="G177" t="str">
            <v>mx1,25</v>
          </cell>
          <cell r="H177" t="str">
            <v>M¸y xóc 1,25m3</v>
          </cell>
          <cell r="I177" t="str">
            <v>Ca</v>
          </cell>
          <cell r="J177">
            <v>713258</v>
          </cell>
        </row>
        <row r="178">
          <cell r="G178" t="str">
            <v>lr25</v>
          </cell>
          <cell r="H178" t="str">
            <v>Lu rung 25T</v>
          </cell>
          <cell r="I178" t="str">
            <v>Ca</v>
          </cell>
          <cell r="J178">
            <v>928648</v>
          </cell>
        </row>
        <row r="179">
          <cell r="G179" t="str">
            <v>ottn7t</v>
          </cell>
          <cell r="H179" t="str">
            <v>¤t« t­íi nhùa 7T</v>
          </cell>
          <cell r="I179" t="str">
            <v>Ca</v>
          </cell>
          <cell r="J179">
            <v>745096</v>
          </cell>
        </row>
        <row r="180">
          <cell r="G180" t="str">
            <v>ot7t</v>
          </cell>
          <cell r="H180" t="str">
            <v>¤t« tù ®æ 7T</v>
          </cell>
          <cell r="I180" t="str">
            <v>Ca</v>
          </cell>
          <cell r="J180">
            <v>444551</v>
          </cell>
        </row>
        <row r="181">
          <cell r="G181" t="str">
            <v>ot10t</v>
          </cell>
          <cell r="H181" t="str">
            <v>¤t« tù ®æ 10T</v>
          </cell>
          <cell r="I181" t="str">
            <v>Ca</v>
          </cell>
          <cell r="J181">
            <v>525740</v>
          </cell>
        </row>
        <row r="182">
          <cell r="G182" t="str">
            <v>dd</v>
          </cell>
          <cell r="H182" t="str">
            <v>M¸y ®Çm dïi 1,5KW</v>
          </cell>
          <cell r="I182" t="str">
            <v>Ca</v>
          </cell>
          <cell r="J182">
            <v>37456</v>
          </cell>
        </row>
        <row r="183">
          <cell r="G183" t="str">
            <v>cu</v>
          </cell>
          <cell r="H183" t="str">
            <v>M¸y c¾t uèn cèt thÐp</v>
          </cell>
          <cell r="I183" t="str">
            <v>Ca</v>
          </cell>
          <cell r="J183">
            <v>39789</v>
          </cell>
        </row>
        <row r="184">
          <cell r="G184" t="str">
            <v>md&lt;=1,25</v>
          </cell>
          <cell r="H184" t="str">
            <v>M¸y ®µo &lt;=1,25m3</v>
          </cell>
          <cell r="I184" t="str">
            <v>Ca</v>
          </cell>
          <cell r="J184">
            <v>1238930</v>
          </cell>
        </row>
        <row r="185">
          <cell r="G185" t="str">
            <v>md&lt;=0.8</v>
          </cell>
          <cell r="H185" t="str">
            <v>M¸y ®µo &lt;=0,8m3</v>
          </cell>
          <cell r="I185" t="str">
            <v>Ca</v>
          </cell>
          <cell r="J185">
            <v>705849</v>
          </cell>
        </row>
        <row r="186">
          <cell r="G186" t="str">
            <v>nk17</v>
          </cell>
          <cell r="H186" t="str">
            <v>M¸y nÐn khÝ 17m3/h</v>
          </cell>
          <cell r="I186" t="str">
            <v>Ca</v>
          </cell>
          <cell r="J186">
            <v>36644</v>
          </cell>
        </row>
        <row r="187">
          <cell r="G187" t="str">
            <v>mu140</v>
          </cell>
          <cell r="H187" t="str">
            <v>M¸y ñi 140cv</v>
          </cell>
          <cell r="I187" t="str">
            <v>Ca</v>
          </cell>
          <cell r="J187">
            <v>865868</v>
          </cell>
        </row>
        <row r="188">
          <cell r="G188" t="str">
            <v>tt50-60</v>
          </cell>
          <cell r="H188" t="str">
            <v>Tr¹m trén 50-60T/h</v>
          </cell>
          <cell r="I188" t="str">
            <v>Ca</v>
          </cell>
          <cell r="J188">
            <v>8261175</v>
          </cell>
        </row>
        <row r="189">
          <cell r="G189" t="str">
            <v>mkxd</v>
          </cell>
          <cell r="H189" t="str">
            <v>M¸y khoan xoay ®Ëp F 65mm</v>
          </cell>
          <cell r="I189" t="str">
            <v>Ca</v>
          </cell>
          <cell r="J189">
            <v>230707</v>
          </cell>
        </row>
        <row r="190">
          <cell r="G190" t="str">
            <v>mk</v>
          </cell>
          <cell r="H190" t="str">
            <v>M¸y khoan cÇm tay F =42mm</v>
          </cell>
          <cell r="I190" t="str">
            <v>Ca</v>
          </cell>
          <cell r="J190">
            <v>35357</v>
          </cell>
        </row>
        <row r="191">
          <cell r="G191" t="str">
            <v>kbt</v>
          </cell>
          <cell r="H191" t="str">
            <v>M¸y khoan bª t«ng cÇm tay</v>
          </cell>
          <cell r="I191" t="str">
            <v>Ca</v>
          </cell>
          <cell r="J191">
            <v>23621</v>
          </cell>
        </row>
        <row r="192">
          <cell r="G192" t="str">
            <v>xdk+m</v>
          </cell>
          <cell r="H192" t="str">
            <v>Xe ®Çu kÐo vµ moãc</v>
          </cell>
          <cell r="I192" t="str">
            <v>Ca</v>
          </cell>
          <cell r="J192">
            <v>582634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/>
      <sheetData sheetId="140" refreshError="1"/>
      <sheetData sheetId="14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ra-vat-lieu"/>
      <sheetName val="Da tan dung"/>
      <sheetName val="PTDG"/>
      <sheetName val="duong+cong"/>
      <sheetName val="THGTXL05"/>
      <sheetName val="Tonghop"/>
      <sheetName val="Tra_bang"/>
      <sheetName val="kstk(DC)"/>
      <sheetName val="dbgt(tuyen)"/>
      <sheetName val="tong hop"/>
      <sheetName val="phan tich DG"/>
      <sheetName val="gia vat lieu"/>
      <sheetName val="gia xe may"/>
      <sheetName val="gia nhan cong"/>
      <sheetName val="XL4Test5"/>
      <sheetName val="THDT"/>
      <sheetName val="DM-Goc"/>
      <sheetName val="Gia-CT"/>
      <sheetName val="PTCP"/>
      <sheetName val="cphoi"/>
      <sheetName val="XL4Poppy"/>
      <sheetName val=""/>
      <sheetName val="tra_vat_lieu"/>
      <sheetName val="Sheet4"/>
      <sheetName val="Sheet1"/>
      <sheetName val="tonghoptt"/>
      <sheetName val="Sheet2"/>
      <sheetName val="Sheet3"/>
      <sheetName val="ximang"/>
      <sheetName val="da 1x2"/>
      <sheetName val="cat vang"/>
      <sheetName val="phugia555"/>
      <sheetName val="phugia561"/>
      <sheetName val="CQD"/>
      <sheetName val="HGAD"/>
      <sheetName val="HGAM1"/>
      <sheetName val="HGAL2"/>
      <sheetName val="HGAL3"/>
      <sheetName val="tcm"/>
      <sheetName val="tieunang"/>
      <sheetName val="TTTA"/>
      <sheetName val="TNTA"/>
      <sheetName val="TMTTH"/>
      <sheetName val="TNBH"/>
      <sheetName val="tt"/>
      <sheetName val="TLsannen"/>
      <sheetName val="tlsanduong"/>
      <sheetName val="DTKPSADUONG"/>
      <sheetName val="THKPSDUONG"/>
      <sheetName val="TLSNEN"/>
      <sheetName val="DTCTSN"/>
      <sheetName val="DTKPSN"/>
      <sheetName val="KENHLU"/>
      <sheetName val="DTCTKLU"/>
      <sheetName val="thkpklu"/>
      <sheetName val="MBTA"/>
      <sheetName val="DTCTMBTA"/>
      <sheetName val="TKPmtbta"/>
      <sheetName val="MTBHUU"/>
      <sheetName val="DTCTMBHUU"/>
      <sheetName val="THKPBHUU"/>
      <sheetName val="MNTA"/>
      <sheetName val="DTCTMNHANH"/>
      <sheetName val="THKPNTA"/>
      <sheetName val="TLCMANG"/>
      <sheetName val="DTCTCM"/>
      <sheetName val="THKPCM"/>
      <sheetName val="tlcqd"/>
      <sheetName val="DTCTQD"/>
      <sheetName val="thkpcqd"/>
      <sheetName val="30+8QUAD"/>
      <sheetName val="DTCT30+8"/>
      <sheetName val="THKP30+8"/>
      <sheetName val="TLCQD22-46"/>
      <sheetName val="DTCT22-46"/>
      <sheetName val="THKP22-46"/>
      <sheetName val="TLTNANG"/>
      <sheetName val="DTCTNÀNG"/>
      <sheetName val="THKPTNANG"/>
      <sheetName val="PLKS"/>
      <sheetName val="GXL"/>
      <sheetName val="CPK"/>
      <sheetName val="THKP"/>
      <sheetName val="ghtxl"/>
      <sheetName val="buvl"/>
      <sheetName val="VCB"/>
      <sheetName val="CTVT"/>
      <sheetName val="dongia"/>
      <sheetName val="PLTK"/>
      <sheetName val="00000000"/>
      <sheetName val="10000000"/>
      <sheetName val="Tai khoan"/>
      <sheetName val="DTCT"/>
      <sheetName val="TM Gach"/>
      <sheetName val="HM bao gia"/>
      <sheetName val="BiaTong Khoan"/>
      <sheetName val="BiaT.K1"/>
      <sheetName val="TH khoan GC+H+L+S"/>
      <sheetName val="TM Khoan HAN"/>
      <sheetName val="TM Khoan GC"/>
      <sheetName val="TM Khoan SON"/>
      <sheetName val="tc phan tich don gia"/>
      <sheetName val="tc chi tiet TC"/>
      <sheetName val="tc chiet tinh TC"/>
      <sheetName val="tc Don gia"/>
      <sheetName val="tc TH - TC"/>
      <sheetName val="tcBiaTC1"/>
      <sheetName val="tcBiaTC2"/>
      <sheetName val="tc Bia TC (3)"/>
      <sheetName val="chi tiet khoan son"/>
      <sheetName val="chiet tinh khoan son "/>
      <sheetName val="Don gia khoan son "/>
      <sheetName val="TH khoan son"/>
      <sheetName val="BiaSon1"/>
      <sheetName val="BiaSon2"/>
      <sheetName val="SS Sgianh"/>
      <sheetName val="chi tiet Khoan GC+HTP"/>
      <sheetName val="chiet tinh Khoan GC+HTP"/>
      <sheetName val="Dongiakhoan GC+HTP"/>
      <sheetName val="TH khoan GC+HTP"/>
      <sheetName val="BiaGC+H1"/>
      <sheetName val="BiaGC+H2"/>
      <sheetName val="chi tiet Khoan gia cong"/>
      <sheetName val="chiet tinh Khoan gia cong"/>
      <sheetName val="Don gia khoan gia cong"/>
      <sheetName val="TH khoan gia cong"/>
      <sheetName val="BiaGC1"/>
      <sheetName val="BiaGC2"/>
      <sheetName val="chi tiet Khoan Han"/>
      <sheetName val="chiet tinh Khoan Han"/>
      <sheetName val="Dongiakhoanhan"/>
      <sheetName val="TH khoan han"/>
      <sheetName val="BiaHan1"/>
      <sheetName val="BiaHan2"/>
      <sheetName val="chi tiet K lap TB"/>
      <sheetName val="chiet tinh K lap TB"/>
      <sheetName val="Dongia K lap TB"/>
      <sheetName val="TH K lap TB"/>
      <sheetName val="BiaLap1"/>
      <sheetName val="BiaLap2"/>
      <sheetName val="20000000"/>
      <sheetName val="30000000"/>
      <sheetName val="40000000"/>
      <sheetName val="50000000"/>
      <sheetName val="60000000"/>
      <sheetName val="70000000"/>
      <sheetName val="ESTI."/>
      <sheetName val="DI-ESTI"/>
      <sheetName val="TIEN L"/>
      <sheetName val="THKL"/>
      <sheetName val="BVL"/>
      <sheetName val="PTVL"/>
      <sheetName val="DT"/>
      <sheetName val="KLdat"/>
      <sheetName val="KLthep"/>
      <sheetName val="DG"/>
      <sheetName val="DTKS"/>
      <sheetName val="TH"/>
      <sheetName val="Sheet13"/>
      <sheetName val="Sheet14"/>
      <sheetName val="Sheet15"/>
      <sheetName val="Sheet16"/>
      <sheetName val="PNT-QUOT-#3"/>
      <sheetName val="COAT&amp;WRAP-QIOT-#3"/>
      <sheetName val="THCT"/>
      <sheetName val="THDZ0,4"/>
      <sheetName val="TH DZ35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7"/>
      <sheetName val="Sheet18"/>
      <sheetName val="Mau NT cho doi"/>
      <sheetName val="THDG- Nha VS"/>
      <sheetName val="THDG- Mong thiet bi"/>
      <sheetName val="son-c"/>
      <sheetName val="duc"/>
      <sheetName val="n4"/>
      <sheetName val="bang "/>
      <sheetName val="373.e6"/>
      <sheetName val="678e5"/>
      <sheetName val="372 e6"/>
      <sheetName val="373 e4"/>
      <sheetName val="677e5"/>
      <sheetName val="gvl"/>
      <sheetName val="MTL$-INTER"/>
      <sheetName val="Tong hop phan bo nhien lieu"/>
      <sheetName val="XD Ninh Quang"/>
      <sheetName val="K10"/>
      <sheetName val="PB chi tiet"/>
      <sheetName val="tong hop phan bo nhien lieu "/>
      <sheetName val="tong hgp"/>
      <sheetName val="YL4Test5"/>
      <sheetName val="Gia KS"/>
      <sheetName val="DTCT-TB"/>
      <sheetName val="duc da"/>
      <sheetName val="son"/>
      <sheetName val="A Tam"/>
      <sheetName val="A To"/>
      <sheetName val="a.thanh da"/>
      <sheetName val="co nguyen"/>
      <sheetName val="lap thinh"/>
      <sheetName val="xe ui ly"/>
      <sheetName val="xe cuoc Dat"/>
      <sheetName val="vc xe ben"/>
      <sheetName val="van chuyen"/>
      <sheetName val="vtu "/>
      <sheetName val="chi phi khac"/>
      <sheetName val="vtu le "/>
      <sheetName val="vtu l0n"/>
      <sheetName val="TONG HOPVAT TU MOI"/>
      <sheetName val="QUYET TOAN "/>
      <sheetName val="402"/>
      <sheetName val="[TKKT_15Alan1-dg.xls࡝DTCTNÀNG"/>
      <sheetName val="[TKKT_15Alan1-dg.xlsYPTDG"/>
      <sheetName val="SILICATE"/>
      <sheetName val="ႀ￸B"/>
      <sheetName val="cat vaɮѧ"/>
      <sheetName val="THTram"/>
      <sheetName val="CANDOI"/>
      <sheetName val="GT"/>
      <sheetName val="GITHICH"/>
      <sheetName val="KQ"/>
      <sheetName val="GT KQ"/>
      <sheetName val="NS"/>
      <sheetName val="GT NS"/>
      <sheetName val="CNO"/>
      <sheetName val="CHITIEU"/>
      <sheetName val="_TKKT_15Alan1-dg.xls࡝DTCTNÀNG"/>
      <sheetName val="_TKKT_15Alan1-dg.xlsYPTDG"/>
      <sheetName val="\HKP22-46"/>
      <sheetName val="??B"/>
      <sheetName val="cat va??"/>
      <sheetName val="Da_tan_dung"/>
      <sheetName val="tong_hop"/>
      <sheetName val="phan_tich_DG"/>
      <sheetName val="gia_vat_lieu"/>
      <sheetName val="gia_xe_may"/>
      <sheetName val="gia_nhan_cong"/>
      <sheetName val="da_1x2"/>
      <sheetName val="cat_vang"/>
      <sheetName val="Tai_khoan"/>
      <sheetName val="TM_Gach"/>
      <sheetName val="HM_bao_gia"/>
      <sheetName val="BiaTong_Khoan"/>
      <sheetName val="BiaT_K1"/>
      <sheetName val="TH_khoan_GC+H+L+S"/>
      <sheetName val="TM_Khoan_HAN"/>
      <sheetName val="TM_Khoan_GC"/>
      <sheetName val="TM_Khoan_SON"/>
      <sheetName val="tc_phan_tich_don_gia"/>
      <sheetName val="tc_chi_tiet_TC"/>
      <sheetName val="tc_chiet_tinh_TC"/>
      <sheetName val="tc_Don_gia"/>
      <sheetName val="tc_TH_-_TC"/>
      <sheetName val="tc_Bia_TC_(3)"/>
      <sheetName val="chi_tiet_khoan_son"/>
      <sheetName val="chiet_tinh_khoan_son_"/>
      <sheetName val="Don_gia_khoan_son_"/>
      <sheetName val="TH_khoan_son"/>
      <sheetName val="SS_Sgianh"/>
      <sheetName val="chi_tiet_Khoan_GC+HTP"/>
      <sheetName val="chiet_tinh_Khoan_GC+HTP"/>
      <sheetName val="Dongiakhoan_GC+HTP"/>
      <sheetName val="TH_khoan_GC+HTP"/>
      <sheetName val="chi_tiet_Khoan_gia_cong"/>
      <sheetName val="chiet_tinh_Khoan_gia_cong"/>
      <sheetName val="Don_gia_khoan_gia_cong"/>
      <sheetName val="TH_khoan_gia_cong"/>
      <sheetName val="chi_tiet_Khoan_Han"/>
      <sheetName val="chiet_tinh_Khoan_Han"/>
      <sheetName val="TH_khoan_han"/>
      <sheetName val="chi_tiet_K_lap_TB"/>
      <sheetName val="chiet_tinh_K_lap_TB"/>
      <sheetName val="Dongia_K_lap_TB"/>
      <sheetName val="TH_K_lap_TB"/>
      <sheetName val="TIEN_L"/>
      <sheetName val="bang_"/>
      <sheetName val="373_e6"/>
      <sheetName val="372_e6"/>
      <sheetName val="373_e4"/>
      <sheetName val="ESTI_"/>
      <sheetName val="Mau_NT_cho_doi"/>
      <sheetName val="THDG-_Nha_VS"/>
      <sheetName val="THDG-_Mong_thiet_bi"/>
      <sheetName val="duc_da"/>
      <sheetName val="A_Tam"/>
      <sheetName val="A_To"/>
      <sheetName val="a_thanh_da"/>
      <sheetName val="co_nguyen"/>
      <sheetName val="lap_thinh"/>
      <sheetName val="xe_ui_ly"/>
      <sheetName val="xe_cuoc_Dat"/>
      <sheetName val="vc_xe_ben"/>
      <sheetName val="van_chuyen"/>
      <sheetName val="vtu_"/>
      <sheetName val="chi_phi_khac"/>
      <sheetName val="vtu_le_"/>
      <sheetName val="vtu_l0n"/>
      <sheetName val="TONG_HOPVAT_TU_MOI"/>
      <sheetName val="QUYET_TOAN_"/>
      <sheetName val="Bu_vat_lieu"/>
      <sheetName val="¢çeet9"/>
      <sheetName val="cat va__"/>
      <sheetName val="_x000d_BTA"/>
      <sheetName val="D_x0014_CTQD"/>
      <sheetName val="_x0004_TCT22-46"/>
      <sheetName val="_x0007_XL"/>
      <sheetName val="_x0013_heet2"/>
      <sheetName val="to.ghoptt"/>
      <sheetName val="_HKP22-46"/>
      <sheetName val="GiaVL"/>
      <sheetName val="CHITIET"/>
      <sheetName val="_x000a_BTA"/>
      <sheetName val="[TKKT_15Ala"/>
      <sheetName val="TH khoan ha_x0000_"/>
      <sheetName val="FD"/>
      <sheetName val="GI"/>
      <sheetName val="EE (3)"/>
      <sheetName val="PAVEMENT"/>
      <sheetName val="TRAFFIC"/>
    </sheetNames>
    <sheetDataSet>
      <sheetData sheetId="0" refreshError="1"/>
      <sheetData sheetId="1" refreshError="1">
        <row r="201">
          <cell r="A201" t="str">
            <v>t</v>
          </cell>
          <cell r="B201" t="str">
            <v>S¾t thÐp c¸c lo¹i</v>
          </cell>
          <cell r="C201" t="str">
            <v>TÊn</v>
          </cell>
          <cell r="D201">
            <v>1</v>
          </cell>
          <cell r="E201">
            <v>2</v>
          </cell>
          <cell r="F201">
            <v>1.1000000000000001</v>
          </cell>
          <cell r="G201">
            <v>1</v>
          </cell>
          <cell r="H201">
            <v>7000</v>
          </cell>
        </row>
        <row r="202">
          <cell r="A202">
            <v>1</v>
          </cell>
          <cell r="B202" t="str">
            <v>§¸ d¨m 1x2</v>
          </cell>
          <cell r="C202" t="str">
            <v>m3</v>
          </cell>
          <cell r="D202">
            <v>1.6</v>
          </cell>
          <cell r="E202">
            <v>1</v>
          </cell>
          <cell r="F202">
            <v>1</v>
          </cell>
          <cell r="G202">
            <v>1.1499999999999999</v>
          </cell>
          <cell r="H202">
            <v>4000</v>
          </cell>
        </row>
        <row r="203">
          <cell r="A203">
            <v>4</v>
          </cell>
          <cell r="B203" t="str">
            <v>§¸ d¨m 4x6</v>
          </cell>
          <cell r="C203" t="str">
            <v>m3</v>
          </cell>
          <cell r="D203">
            <v>1.55</v>
          </cell>
          <cell r="E203">
            <v>1</v>
          </cell>
          <cell r="F203">
            <v>1</v>
          </cell>
          <cell r="G203">
            <v>1.1499999999999999</v>
          </cell>
          <cell r="H203">
            <v>3875</v>
          </cell>
        </row>
        <row r="204">
          <cell r="A204" t="str">
            <v>c</v>
          </cell>
          <cell r="B204" t="str">
            <v>C¸t vµng</v>
          </cell>
          <cell r="C204" t="str">
            <v>m3</v>
          </cell>
          <cell r="D204">
            <v>1.4</v>
          </cell>
          <cell r="E204">
            <v>1</v>
          </cell>
          <cell r="F204">
            <v>1</v>
          </cell>
          <cell r="G204">
            <v>1.1499999999999999</v>
          </cell>
          <cell r="H204">
            <v>3500</v>
          </cell>
        </row>
        <row r="205">
          <cell r="A205" t="str">
            <v>dh</v>
          </cell>
          <cell r="B205" t="str">
            <v xml:space="preserve">§¸ héc </v>
          </cell>
          <cell r="C205" t="str">
            <v>m3</v>
          </cell>
          <cell r="D205">
            <v>1.5</v>
          </cell>
          <cell r="E205">
            <v>2</v>
          </cell>
          <cell r="F205">
            <v>1.1000000000000001</v>
          </cell>
          <cell r="G205">
            <v>1.1499999999999999</v>
          </cell>
          <cell r="H205">
            <v>3750</v>
          </cell>
        </row>
        <row r="206">
          <cell r="A206" t="str">
            <v>dm</v>
          </cell>
          <cell r="B206" t="str">
            <v>§¸ m¹t</v>
          </cell>
          <cell r="C206" t="str">
            <v>m3</v>
          </cell>
          <cell r="D206">
            <v>1.6</v>
          </cell>
          <cell r="E206">
            <v>1</v>
          </cell>
          <cell r="F206">
            <v>1</v>
          </cell>
          <cell r="G206">
            <v>1.1499999999999999</v>
          </cell>
          <cell r="H206">
            <v>4000</v>
          </cell>
        </row>
        <row r="207">
          <cell r="A207" t="str">
            <v>gv</v>
          </cell>
          <cell r="B207" t="str">
            <v>Gç v¸n</v>
          </cell>
          <cell r="C207" t="str">
            <v>m3</v>
          </cell>
          <cell r="D207">
            <v>0.77</v>
          </cell>
          <cell r="E207">
            <v>2</v>
          </cell>
          <cell r="F207">
            <v>1.1000000000000001</v>
          </cell>
          <cell r="G207">
            <v>1</v>
          </cell>
          <cell r="H207">
            <v>7000</v>
          </cell>
        </row>
        <row r="208">
          <cell r="A208" t="str">
            <v>x</v>
          </cell>
          <cell r="B208" t="str">
            <v>Xim¨ng P30</v>
          </cell>
          <cell r="C208" t="str">
            <v>TÊn</v>
          </cell>
          <cell r="D208">
            <v>1</v>
          </cell>
          <cell r="E208">
            <v>3</v>
          </cell>
          <cell r="F208">
            <v>1.3</v>
          </cell>
          <cell r="G208">
            <v>1</v>
          </cell>
          <cell r="H208">
            <v>7000</v>
          </cell>
        </row>
        <row r="209">
          <cell r="A209" t="str">
            <v>x</v>
          </cell>
          <cell r="B209" t="str">
            <v>Xim¨ng PC-400</v>
          </cell>
          <cell r="C209" t="str">
            <v>TÊn</v>
          </cell>
          <cell r="D209">
            <v>1</v>
          </cell>
          <cell r="E209">
            <v>3</v>
          </cell>
          <cell r="F209">
            <v>1.3</v>
          </cell>
          <cell r="G209">
            <v>1</v>
          </cell>
          <cell r="H209">
            <v>7000</v>
          </cell>
        </row>
        <row r="210">
          <cell r="A210" t="str">
            <v>n</v>
          </cell>
          <cell r="B210" t="str">
            <v>Nhùa ®­êng</v>
          </cell>
          <cell r="C210" t="str">
            <v>TÊn</v>
          </cell>
          <cell r="D210">
            <v>1</v>
          </cell>
          <cell r="E210">
            <v>3</v>
          </cell>
          <cell r="F210">
            <v>1.3</v>
          </cell>
          <cell r="G210">
            <v>1</v>
          </cell>
          <cell r="H210">
            <v>7000</v>
          </cell>
        </row>
        <row r="211">
          <cell r="A211" t="str">
            <v>n</v>
          </cell>
          <cell r="B211" t="str">
            <v>Nhùa ®­êng</v>
          </cell>
          <cell r="C211" t="str">
            <v>TÊn</v>
          </cell>
          <cell r="D211">
            <v>1</v>
          </cell>
          <cell r="E211">
            <v>3</v>
          </cell>
          <cell r="F211">
            <v>1.3</v>
          </cell>
          <cell r="G211">
            <v>1</v>
          </cell>
          <cell r="H211">
            <v>7000</v>
          </cell>
        </row>
        <row r="212">
          <cell r="A212" t="str">
            <v>cpdd</v>
          </cell>
          <cell r="B212" t="str">
            <v>CÊp phèi ®¸ d¨m</v>
          </cell>
          <cell r="C212" t="str">
            <v>m3</v>
          </cell>
          <cell r="D212">
            <v>1.6</v>
          </cell>
          <cell r="E212">
            <v>1</v>
          </cell>
          <cell r="F212">
            <v>1</v>
          </cell>
          <cell r="G212">
            <v>1.1499999999999999</v>
          </cell>
          <cell r="H212">
            <v>4000</v>
          </cell>
        </row>
        <row r="213">
          <cell r="A213" t="str">
            <v>bd</v>
          </cell>
          <cell r="B213" t="str">
            <v xml:space="preserve">Bét ®¸ </v>
          </cell>
          <cell r="C213" t="str">
            <v>TÊn</v>
          </cell>
          <cell r="D213">
            <v>1</v>
          </cell>
          <cell r="E213">
            <v>1</v>
          </cell>
          <cell r="F213">
            <v>1</v>
          </cell>
          <cell r="G213">
            <v>1</v>
          </cell>
          <cell r="H213">
            <v>7000</v>
          </cell>
        </row>
        <row r="214">
          <cell r="A214">
            <v>0.5</v>
          </cell>
          <cell r="B214" t="str">
            <v>§¸ d¨m 0,5x1</v>
          </cell>
          <cell r="C214" t="str">
            <v>m3</v>
          </cell>
          <cell r="D214">
            <v>1.6</v>
          </cell>
          <cell r="E214">
            <v>1</v>
          </cell>
          <cell r="F214">
            <v>1</v>
          </cell>
          <cell r="G214">
            <v>1.1499999999999999</v>
          </cell>
          <cell r="H214">
            <v>4000</v>
          </cell>
        </row>
        <row r="215">
          <cell r="A215">
            <v>2</v>
          </cell>
          <cell r="B215" t="str">
            <v>§¸ d¨m 2x4</v>
          </cell>
          <cell r="C215" t="str">
            <v>m3</v>
          </cell>
          <cell r="D215">
            <v>1.6</v>
          </cell>
          <cell r="E215">
            <v>1</v>
          </cell>
          <cell r="F215">
            <v>1</v>
          </cell>
          <cell r="G215">
            <v>1.1499999999999999</v>
          </cell>
          <cell r="H215">
            <v>4000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 refreshError="1"/>
      <sheetData sheetId="323" refreshError="1"/>
      <sheetData sheetId="324" refreshError="1"/>
      <sheetData sheetId="325"/>
      <sheetData sheetId="326"/>
      <sheetData sheetId="327"/>
      <sheetData sheetId="328" refreshError="1"/>
      <sheetData sheetId="329" refreshError="1"/>
      <sheetData sheetId="330" refreshError="1"/>
      <sheetData sheetId="331" refreshError="1"/>
      <sheetData sheetId="3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IEU"/>
      <sheetName val="TH cong"/>
      <sheetName val="dtct cong"/>
      <sheetName val="ptdg cong"/>
      <sheetName val="PTDG cau"/>
      <sheetName val="dtct cau"/>
      <sheetName val="th"/>
      <sheetName val="tungphan"/>
      <sheetName val="KSTK-tkkt"/>
      <sheetName val="denbu"/>
      <sheetName val="trabang"/>
      <sheetName val="trabang2"/>
      <sheetName val="trabang3"/>
      <sheetName val="VCTbi"/>
      <sheetName val="VC-DC-DH"/>
      <sheetName val="Tong"/>
      <sheetName val="Chi tiet"/>
      <sheetName val="Sheet2"/>
      <sheetName val="Sheet3"/>
      <sheetName val="00000000"/>
      <sheetName val="dtct cong_x0000_ȁ"/>
      <sheetName val="bravo41"/>
      <sheetName val="tra-vat-lieu"/>
      <sheetName val="DOAM0654CAS"/>
      <sheetName val="hold5"/>
      <sheetName val="hold6"/>
      <sheetName val="XL4Test5"/>
      <sheetName val="gvl"/>
      <sheetName val="THTram"/>
      <sheetName val="lt-tl"/>
      <sheetName val="px3-tl"/>
      <sheetName val="px1-tl"/>
      <sheetName val="vp-tl"/>
      <sheetName val="px2,tb-tl"/>
      <sheetName val="th-qt"/>
      <sheetName val="bqt"/>
      <sheetName val="tl-khovt"/>
      <sheetName val="dtkhovt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DTCT"/>
      <sheetName val="KSTK-tkkd"/>
      <sheetName val="BK N111"/>
      <sheetName val="BKN111(06)"/>
      <sheetName val="XL4Poppy"/>
      <sheetName val="Tra_bang"/>
      <sheetName val="dtct cong_x0000_?"/>
      <sheetName val="TVL"/>
      <sheetName val="Tai khoan"/>
      <sheetName val="tra_vat_lieu"/>
      <sheetName val="dtct ccu"/>
      <sheetName val="t"/>
      <sheetName val="tungphal"/>
      <sheetName val="Pÿÿÿÿcau"/>
      <sheetName val="dtct cong?ȁ"/>
      <sheetName val="dtct cong??"/>
      <sheetName val="NEW-PANEL"/>
      <sheetName val="_x0000_"/>
      <sheetName val="SILICATE"/>
      <sheetName val="TH_cong"/>
      <sheetName val="dtct_cong"/>
      <sheetName val="ptdg_cong"/>
      <sheetName val="PTDG_cau"/>
      <sheetName val="dtct_cau"/>
      <sheetName val="Chi_tiet"/>
      <sheetName val="dtct_congȁ"/>
      <sheetName val="Tai_khoan"/>
      <sheetName val="dtct_x0000_cong"/>
      <sheetName val="dtct cong_ȁ"/>
      <sheetName val="dtct cong__"/>
      <sheetName val="4"/>
    </sheetNames>
    <sheetDataSet>
      <sheetData sheetId="0"/>
      <sheetData sheetId="1"/>
      <sheetData sheetId="2"/>
      <sheetData sheetId="3" refreshError="1">
        <row r="11">
          <cell r="A11">
            <v>1</v>
          </cell>
        </row>
        <row r="12">
          <cell r="A12">
            <v>2</v>
          </cell>
        </row>
        <row r="13">
          <cell r="A13">
            <v>3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17</v>
          </cell>
        </row>
        <row r="20">
          <cell r="A20">
            <v>43</v>
          </cell>
        </row>
        <row r="21">
          <cell r="A21">
            <v>44</v>
          </cell>
        </row>
        <row r="22">
          <cell r="A22">
            <v>22</v>
          </cell>
        </row>
        <row r="23">
          <cell r="A23">
            <v>24</v>
          </cell>
        </row>
        <row r="25">
          <cell r="A25">
            <v>38</v>
          </cell>
        </row>
        <row r="26">
          <cell r="A26">
            <v>40</v>
          </cell>
        </row>
        <row r="27">
          <cell r="A27">
            <v>42</v>
          </cell>
        </row>
        <row r="28">
          <cell r="A28">
            <v>43</v>
          </cell>
        </row>
        <row r="29">
          <cell r="A29">
            <v>39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22</v>
          </cell>
        </row>
        <row r="37">
          <cell r="A37">
            <v>23</v>
          </cell>
        </row>
        <row r="39">
          <cell r="A39">
            <v>36</v>
          </cell>
        </row>
        <row r="40">
          <cell r="A40">
            <v>19</v>
          </cell>
        </row>
        <row r="44">
          <cell r="A44">
            <v>1</v>
          </cell>
        </row>
        <row r="45">
          <cell r="A45">
            <v>2</v>
          </cell>
        </row>
        <row r="46">
          <cell r="A46">
            <v>3</v>
          </cell>
        </row>
        <row r="47">
          <cell r="A47">
            <v>5</v>
          </cell>
        </row>
        <row r="48">
          <cell r="A48">
            <v>6</v>
          </cell>
        </row>
        <row r="49">
          <cell r="A49">
            <v>7</v>
          </cell>
        </row>
        <row r="50">
          <cell r="A50">
            <v>8</v>
          </cell>
        </row>
        <row r="51">
          <cell r="A51">
            <v>9</v>
          </cell>
        </row>
        <row r="52">
          <cell r="A52">
            <v>17</v>
          </cell>
        </row>
        <row r="53">
          <cell r="A53">
            <v>43</v>
          </cell>
        </row>
        <row r="54">
          <cell r="A54">
            <v>44</v>
          </cell>
        </row>
        <row r="55">
          <cell r="A55">
            <v>22</v>
          </cell>
        </row>
        <row r="56">
          <cell r="A56">
            <v>24</v>
          </cell>
        </row>
        <row r="58">
          <cell r="A58">
            <v>28</v>
          </cell>
        </row>
        <row r="59">
          <cell r="A59">
            <v>37</v>
          </cell>
        </row>
        <row r="60">
          <cell r="A60">
            <v>25</v>
          </cell>
        </row>
        <row r="61">
          <cell r="A61">
            <v>38</v>
          </cell>
        </row>
        <row r="62">
          <cell r="A62">
            <v>40</v>
          </cell>
        </row>
        <row r="63">
          <cell r="A63">
            <v>42</v>
          </cell>
        </row>
        <row r="64">
          <cell r="A64">
            <v>43</v>
          </cell>
        </row>
        <row r="65">
          <cell r="A65">
            <v>39</v>
          </cell>
        </row>
        <row r="66">
          <cell r="A66">
            <v>22</v>
          </cell>
        </row>
        <row r="67">
          <cell r="A67">
            <v>23</v>
          </cell>
        </row>
        <row r="71">
          <cell r="A71">
            <v>10</v>
          </cell>
        </row>
        <row r="72">
          <cell r="A72">
            <v>11</v>
          </cell>
        </row>
        <row r="73">
          <cell r="A73">
            <v>12</v>
          </cell>
        </row>
        <row r="74">
          <cell r="A74">
            <v>13</v>
          </cell>
        </row>
        <row r="75">
          <cell r="A75">
            <v>15</v>
          </cell>
        </row>
        <row r="76">
          <cell r="A76">
            <v>21</v>
          </cell>
        </row>
        <row r="77">
          <cell r="A77">
            <v>41</v>
          </cell>
        </row>
        <row r="78">
          <cell r="A78">
            <v>25</v>
          </cell>
        </row>
        <row r="79">
          <cell r="A79">
            <v>22</v>
          </cell>
        </row>
        <row r="80">
          <cell r="A80">
            <v>24</v>
          </cell>
        </row>
        <row r="82">
          <cell r="A82">
            <v>28</v>
          </cell>
        </row>
        <row r="83">
          <cell r="A83">
            <v>37</v>
          </cell>
        </row>
        <row r="84">
          <cell r="A84">
            <v>38</v>
          </cell>
        </row>
        <row r="85">
          <cell r="A85">
            <v>40</v>
          </cell>
        </row>
        <row r="86">
          <cell r="A86">
            <v>42</v>
          </cell>
        </row>
        <row r="87">
          <cell r="A87">
            <v>43</v>
          </cell>
        </row>
        <row r="88">
          <cell r="A88">
            <v>25</v>
          </cell>
        </row>
        <row r="89">
          <cell r="A89">
            <v>45</v>
          </cell>
        </row>
        <row r="90">
          <cell r="A90">
            <v>39</v>
          </cell>
        </row>
        <row r="91">
          <cell r="A91">
            <v>22</v>
          </cell>
        </row>
        <row r="92">
          <cell r="A92">
            <v>23</v>
          </cell>
        </row>
        <row r="96">
          <cell r="A96">
            <v>10</v>
          </cell>
        </row>
        <row r="97">
          <cell r="A97">
            <v>11</v>
          </cell>
        </row>
        <row r="98">
          <cell r="A98">
            <v>12</v>
          </cell>
        </row>
        <row r="99">
          <cell r="A99">
            <v>13</v>
          </cell>
        </row>
        <row r="100">
          <cell r="A100">
            <v>15</v>
          </cell>
        </row>
        <row r="101">
          <cell r="A101">
            <v>21</v>
          </cell>
        </row>
        <row r="102">
          <cell r="A102">
            <v>41</v>
          </cell>
        </row>
        <row r="103">
          <cell r="A103">
            <v>25</v>
          </cell>
        </row>
        <row r="104">
          <cell r="A104">
            <v>22</v>
          </cell>
        </row>
        <row r="105">
          <cell r="A105">
            <v>24</v>
          </cell>
        </row>
        <row r="107">
          <cell r="A107">
            <v>28</v>
          </cell>
        </row>
        <row r="108">
          <cell r="A108">
            <v>37</v>
          </cell>
        </row>
        <row r="109">
          <cell r="A109">
            <v>38</v>
          </cell>
        </row>
        <row r="110">
          <cell r="A110">
            <v>40</v>
          </cell>
        </row>
        <row r="111">
          <cell r="A111">
            <v>42</v>
          </cell>
        </row>
        <row r="112">
          <cell r="A112">
            <v>43</v>
          </cell>
        </row>
        <row r="113">
          <cell r="A113">
            <v>25</v>
          </cell>
        </row>
        <row r="114">
          <cell r="A114">
            <v>39</v>
          </cell>
        </row>
        <row r="115">
          <cell r="A115">
            <v>22</v>
          </cell>
        </row>
        <row r="116">
          <cell r="A116">
            <v>23</v>
          </cell>
        </row>
        <row r="120">
          <cell r="A120">
            <v>10</v>
          </cell>
        </row>
        <row r="121">
          <cell r="A121">
            <v>11</v>
          </cell>
        </row>
        <row r="122">
          <cell r="A122">
            <v>12</v>
          </cell>
        </row>
        <row r="123">
          <cell r="A123">
            <v>13</v>
          </cell>
        </row>
        <row r="124">
          <cell r="A124">
            <v>15</v>
          </cell>
        </row>
        <row r="125">
          <cell r="A125">
            <v>21</v>
          </cell>
        </row>
        <row r="126">
          <cell r="A126">
            <v>41</v>
          </cell>
        </row>
        <row r="127">
          <cell r="A127">
            <v>25</v>
          </cell>
        </row>
        <row r="128">
          <cell r="A128">
            <v>22</v>
          </cell>
        </row>
        <row r="129">
          <cell r="A129">
            <v>24</v>
          </cell>
        </row>
        <row r="131">
          <cell r="A131">
            <v>28</v>
          </cell>
        </row>
        <row r="132">
          <cell r="A132">
            <v>37</v>
          </cell>
        </row>
        <row r="133">
          <cell r="A133">
            <v>38</v>
          </cell>
        </row>
        <row r="134">
          <cell r="A134">
            <v>40</v>
          </cell>
        </row>
        <row r="135">
          <cell r="A135">
            <v>42</v>
          </cell>
        </row>
        <row r="136">
          <cell r="A136">
            <v>43</v>
          </cell>
        </row>
        <row r="137">
          <cell r="A137">
            <v>25</v>
          </cell>
        </row>
        <row r="138">
          <cell r="A138">
            <v>39</v>
          </cell>
        </row>
        <row r="139">
          <cell r="A139">
            <v>22</v>
          </cell>
        </row>
        <row r="140">
          <cell r="A140">
            <v>23</v>
          </cell>
        </row>
        <row r="144">
          <cell r="A144">
            <v>1</v>
          </cell>
        </row>
        <row r="145">
          <cell r="A145">
            <v>2</v>
          </cell>
        </row>
        <row r="146">
          <cell r="A146">
            <v>3</v>
          </cell>
        </row>
        <row r="147">
          <cell r="A147">
            <v>5</v>
          </cell>
        </row>
        <row r="148">
          <cell r="A148">
            <v>6</v>
          </cell>
        </row>
        <row r="149">
          <cell r="A149">
            <v>7</v>
          </cell>
        </row>
        <row r="150">
          <cell r="A150">
            <v>8</v>
          </cell>
        </row>
        <row r="151">
          <cell r="A151">
            <v>9</v>
          </cell>
        </row>
        <row r="152">
          <cell r="A152">
            <v>17</v>
          </cell>
        </row>
        <row r="153">
          <cell r="A153">
            <v>43</v>
          </cell>
        </row>
        <row r="154">
          <cell r="A154">
            <v>44</v>
          </cell>
        </row>
        <row r="155">
          <cell r="A155">
            <v>22</v>
          </cell>
        </row>
        <row r="156">
          <cell r="A156">
            <v>24</v>
          </cell>
        </row>
        <row r="158">
          <cell r="A158">
            <v>28</v>
          </cell>
        </row>
        <row r="159">
          <cell r="A159">
            <v>37</v>
          </cell>
        </row>
        <row r="160">
          <cell r="A160">
            <v>25</v>
          </cell>
        </row>
        <row r="161">
          <cell r="A161">
            <v>38</v>
          </cell>
        </row>
        <row r="162">
          <cell r="A162">
            <v>40</v>
          </cell>
        </row>
        <row r="163">
          <cell r="A163">
            <v>42</v>
          </cell>
        </row>
        <row r="164">
          <cell r="A164">
            <v>43</v>
          </cell>
        </row>
        <row r="165">
          <cell r="A165">
            <v>39</v>
          </cell>
        </row>
        <row r="166">
          <cell r="A166">
            <v>22</v>
          </cell>
        </row>
        <row r="167">
          <cell r="A167">
            <v>23</v>
          </cell>
        </row>
        <row r="171">
          <cell r="A171">
            <v>10</v>
          </cell>
        </row>
        <row r="172">
          <cell r="A172">
            <v>11</v>
          </cell>
        </row>
        <row r="173">
          <cell r="A173">
            <v>12</v>
          </cell>
        </row>
        <row r="174">
          <cell r="A174">
            <v>13</v>
          </cell>
        </row>
        <row r="175">
          <cell r="A175">
            <v>16</v>
          </cell>
        </row>
        <row r="176">
          <cell r="A176">
            <v>18</v>
          </cell>
        </row>
        <row r="177">
          <cell r="A177">
            <v>41</v>
          </cell>
        </row>
        <row r="178">
          <cell r="A178">
            <v>25</v>
          </cell>
        </row>
        <row r="179">
          <cell r="A179">
            <v>22</v>
          </cell>
        </row>
        <row r="180">
          <cell r="A180">
            <v>24</v>
          </cell>
        </row>
        <row r="182">
          <cell r="A182">
            <v>28</v>
          </cell>
        </row>
        <row r="183">
          <cell r="A183">
            <v>37</v>
          </cell>
        </row>
        <row r="184">
          <cell r="A184">
            <v>38</v>
          </cell>
        </row>
        <row r="185">
          <cell r="A185">
            <v>40</v>
          </cell>
        </row>
        <row r="186">
          <cell r="A186">
            <v>42</v>
          </cell>
        </row>
        <row r="187">
          <cell r="A187">
            <v>43</v>
          </cell>
        </row>
        <row r="188">
          <cell r="A188">
            <v>25</v>
          </cell>
        </row>
        <row r="189">
          <cell r="A189">
            <v>39</v>
          </cell>
        </row>
        <row r="190">
          <cell r="A190">
            <v>45</v>
          </cell>
        </row>
        <row r="191">
          <cell r="A191">
            <v>22</v>
          </cell>
        </row>
        <row r="192">
          <cell r="A192">
            <v>23</v>
          </cell>
        </row>
        <row r="196">
          <cell r="A196">
            <v>10</v>
          </cell>
        </row>
        <row r="197">
          <cell r="A197">
            <v>11</v>
          </cell>
        </row>
        <row r="198">
          <cell r="A198">
            <v>12</v>
          </cell>
        </row>
        <row r="199">
          <cell r="A199">
            <v>13</v>
          </cell>
        </row>
        <row r="200">
          <cell r="A200">
            <v>15</v>
          </cell>
        </row>
        <row r="201">
          <cell r="A201">
            <v>21</v>
          </cell>
        </row>
        <row r="202">
          <cell r="A202">
            <v>41</v>
          </cell>
        </row>
        <row r="203">
          <cell r="A203">
            <v>25</v>
          </cell>
        </row>
        <row r="204">
          <cell r="A204">
            <v>22</v>
          </cell>
        </row>
        <row r="205">
          <cell r="A205">
            <v>24</v>
          </cell>
        </row>
        <row r="207">
          <cell r="A207">
            <v>28</v>
          </cell>
        </row>
        <row r="208">
          <cell r="A208">
            <v>37</v>
          </cell>
        </row>
        <row r="209">
          <cell r="A209">
            <v>38</v>
          </cell>
        </row>
        <row r="210">
          <cell r="A210">
            <v>40</v>
          </cell>
        </row>
        <row r="211">
          <cell r="A211">
            <v>42</v>
          </cell>
        </row>
        <row r="212">
          <cell r="A212">
            <v>43</v>
          </cell>
        </row>
        <row r="213">
          <cell r="A213">
            <v>25</v>
          </cell>
        </row>
        <row r="214">
          <cell r="A214">
            <v>39</v>
          </cell>
        </row>
        <row r="215">
          <cell r="A215">
            <v>22</v>
          </cell>
        </row>
        <row r="216">
          <cell r="A216">
            <v>23</v>
          </cell>
        </row>
        <row r="220">
          <cell r="A220">
            <v>10</v>
          </cell>
        </row>
        <row r="221">
          <cell r="A221">
            <v>11</v>
          </cell>
        </row>
        <row r="222">
          <cell r="A222">
            <v>12</v>
          </cell>
        </row>
        <row r="223">
          <cell r="A223">
            <v>13</v>
          </cell>
        </row>
        <row r="224">
          <cell r="A224">
            <v>14</v>
          </cell>
        </row>
        <row r="225">
          <cell r="A225">
            <v>20</v>
          </cell>
        </row>
        <row r="226">
          <cell r="A226">
            <v>41</v>
          </cell>
        </row>
        <row r="227">
          <cell r="A227">
            <v>25</v>
          </cell>
        </row>
        <row r="228">
          <cell r="A228">
            <v>22</v>
          </cell>
        </row>
        <row r="229">
          <cell r="A229">
            <v>24</v>
          </cell>
        </row>
        <row r="231">
          <cell r="A231">
            <v>28</v>
          </cell>
        </row>
        <row r="232">
          <cell r="A232">
            <v>37</v>
          </cell>
        </row>
        <row r="233">
          <cell r="A233">
            <v>38</v>
          </cell>
        </row>
        <row r="234">
          <cell r="A234">
            <v>40</v>
          </cell>
        </row>
        <row r="235">
          <cell r="A235">
            <v>42</v>
          </cell>
        </row>
        <row r="236">
          <cell r="A236">
            <v>43</v>
          </cell>
        </row>
        <row r="237">
          <cell r="A237">
            <v>25</v>
          </cell>
        </row>
        <row r="238">
          <cell r="A238">
            <v>39</v>
          </cell>
        </row>
        <row r="239">
          <cell r="A239">
            <v>22</v>
          </cell>
        </row>
        <row r="240">
          <cell r="A240">
            <v>23</v>
          </cell>
        </row>
        <row r="244">
          <cell r="A244">
            <v>10</v>
          </cell>
        </row>
        <row r="245">
          <cell r="A245">
            <v>11</v>
          </cell>
        </row>
        <row r="246">
          <cell r="A246">
            <v>12</v>
          </cell>
        </row>
        <row r="247">
          <cell r="A247">
            <v>13</v>
          </cell>
        </row>
        <row r="248">
          <cell r="A248">
            <v>15</v>
          </cell>
        </row>
        <row r="249">
          <cell r="A249">
            <v>21</v>
          </cell>
        </row>
        <row r="250">
          <cell r="A250">
            <v>41</v>
          </cell>
        </row>
        <row r="251">
          <cell r="A251">
            <v>25</v>
          </cell>
        </row>
        <row r="252">
          <cell r="A252">
            <v>22</v>
          </cell>
        </row>
        <row r="253">
          <cell r="A253">
            <v>24</v>
          </cell>
        </row>
        <row r="255">
          <cell r="A255">
            <v>28</v>
          </cell>
        </row>
        <row r="256">
          <cell r="A256">
            <v>37</v>
          </cell>
        </row>
        <row r="257">
          <cell r="A257">
            <v>38</v>
          </cell>
        </row>
        <row r="258">
          <cell r="A258">
            <v>40</v>
          </cell>
        </row>
        <row r="259">
          <cell r="A259">
            <v>42</v>
          </cell>
        </row>
        <row r="260">
          <cell r="A260">
            <v>43</v>
          </cell>
        </row>
        <row r="261">
          <cell r="A261">
            <v>25</v>
          </cell>
        </row>
        <row r="262">
          <cell r="A262">
            <v>39</v>
          </cell>
        </row>
        <row r="263">
          <cell r="A263">
            <v>22</v>
          </cell>
        </row>
        <row r="264">
          <cell r="A264">
            <v>23</v>
          </cell>
        </row>
        <row r="268">
          <cell r="A268">
            <v>1</v>
          </cell>
        </row>
        <row r="269">
          <cell r="A269">
            <v>2</v>
          </cell>
        </row>
        <row r="270">
          <cell r="A270">
            <v>3</v>
          </cell>
        </row>
        <row r="271">
          <cell r="A271">
            <v>5</v>
          </cell>
        </row>
        <row r="272">
          <cell r="A272">
            <v>6</v>
          </cell>
        </row>
        <row r="273">
          <cell r="A273">
            <v>7</v>
          </cell>
        </row>
        <row r="274">
          <cell r="A274">
            <v>8</v>
          </cell>
        </row>
        <row r="275">
          <cell r="A275">
            <v>9</v>
          </cell>
        </row>
        <row r="276">
          <cell r="A276">
            <v>17</v>
          </cell>
        </row>
        <row r="277">
          <cell r="A277">
            <v>43</v>
          </cell>
        </row>
        <row r="278">
          <cell r="A278">
            <v>44</v>
          </cell>
        </row>
        <row r="279">
          <cell r="A279">
            <v>22</v>
          </cell>
        </row>
        <row r="280">
          <cell r="A280">
            <v>24</v>
          </cell>
        </row>
        <row r="282">
          <cell r="A282">
            <v>28</v>
          </cell>
        </row>
        <row r="283">
          <cell r="A283">
            <v>37</v>
          </cell>
        </row>
        <row r="284">
          <cell r="A284">
            <v>25</v>
          </cell>
        </row>
        <row r="285">
          <cell r="A285">
            <v>38</v>
          </cell>
        </row>
        <row r="286">
          <cell r="A286">
            <v>40</v>
          </cell>
        </row>
        <row r="287">
          <cell r="A287">
            <v>42</v>
          </cell>
        </row>
        <row r="288">
          <cell r="A288">
            <v>43</v>
          </cell>
        </row>
        <row r="289">
          <cell r="A289">
            <v>39</v>
          </cell>
        </row>
        <row r="290">
          <cell r="A290">
            <v>22</v>
          </cell>
        </row>
        <row r="291">
          <cell r="A291">
            <v>23</v>
          </cell>
        </row>
        <row r="293">
          <cell r="A293">
            <v>37</v>
          </cell>
        </row>
        <row r="295">
          <cell r="A295">
            <v>1</v>
          </cell>
        </row>
        <row r="296">
          <cell r="A296">
            <v>2</v>
          </cell>
        </row>
        <row r="297">
          <cell r="A297">
            <v>3</v>
          </cell>
        </row>
        <row r="298">
          <cell r="A298">
            <v>5</v>
          </cell>
        </row>
        <row r="299">
          <cell r="A299">
            <v>6</v>
          </cell>
        </row>
        <row r="300">
          <cell r="A300">
            <v>7</v>
          </cell>
        </row>
        <row r="301">
          <cell r="A301">
            <v>8</v>
          </cell>
        </row>
        <row r="302">
          <cell r="A302">
            <v>9</v>
          </cell>
        </row>
        <row r="303">
          <cell r="A303">
            <v>17</v>
          </cell>
        </row>
        <row r="304">
          <cell r="A304">
            <v>43</v>
          </cell>
        </row>
        <row r="305">
          <cell r="A305">
            <v>44</v>
          </cell>
        </row>
        <row r="306">
          <cell r="A306">
            <v>22</v>
          </cell>
        </row>
        <row r="307">
          <cell r="A307">
            <v>24</v>
          </cell>
        </row>
        <row r="309">
          <cell r="A309">
            <v>37</v>
          </cell>
        </row>
        <row r="310">
          <cell r="A310">
            <v>25</v>
          </cell>
        </row>
        <row r="311">
          <cell r="A311">
            <v>38</v>
          </cell>
        </row>
        <row r="312">
          <cell r="A312">
            <v>40</v>
          </cell>
        </row>
        <row r="313">
          <cell r="A313">
            <v>42</v>
          </cell>
        </row>
        <row r="314">
          <cell r="A314">
            <v>43</v>
          </cell>
        </row>
        <row r="315">
          <cell r="A315">
            <v>39</v>
          </cell>
        </row>
        <row r="316">
          <cell r="A316">
            <v>22</v>
          </cell>
        </row>
        <row r="317">
          <cell r="A317">
            <v>23</v>
          </cell>
        </row>
        <row r="321">
          <cell r="A321">
            <v>10</v>
          </cell>
        </row>
        <row r="322">
          <cell r="A322">
            <v>11</v>
          </cell>
        </row>
        <row r="323">
          <cell r="A323">
            <v>12</v>
          </cell>
        </row>
        <row r="324">
          <cell r="A324">
            <v>13</v>
          </cell>
        </row>
        <row r="325">
          <cell r="A325">
            <v>14</v>
          </cell>
        </row>
        <row r="326">
          <cell r="A326">
            <v>20</v>
          </cell>
        </row>
        <row r="327">
          <cell r="A327">
            <v>41</v>
          </cell>
        </row>
        <row r="328">
          <cell r="A328">
            <v>25</v>
          </cell>
        </row>
        <row r="329">
          <cell r="A329">
            <v>22</v>
          </cell>
        </row>
        <row r="330">
          <cell r="A330">
            <v>24</v>
          </cell>
        </row>
        <row r="332">
          <cell r="A332">
            <v>28</v>
          </cell>
        </row>
        <row r="333">
          <cell r="A333">
            <v>37</v>
          </cell>
        </row>
        <row r="334">
          <cell r="A334">
            <v>38</v>
          </cell>
        </row>
        <row r="335">
          <cell r="A335">
            <v>40</v>
          </cell>
        </row>
        <row r="336">
          <cell r="A336">
            <v>42</v>
          </cell>
        </row>
        <row r="337">
          <cell r="A337">
            <v>43</v>
          </cell>
        </row>
        <row r="338">
          <cell r="A338">
            <v>25</v>
          </cell>
        </row>
        <row r="339">
          <cell r="A339">
            <v>39</v>
          </cell>
        </row>
        <row r="340">
          <cell r="A340">
            <v>22</v>
          </cell>
        </row>
        <row r="341">
          <cell r="A341">
            <v>23</v>
          </cell>
        </row>
        <row r="345">
          <cell r="A345">
            <v>10</v>
          </cell>
        </row>
        <row r="346">
          <cell r="A346">
            <v>11</v>
          </cell>
        </row>
        <row r="347">
          <cell r="A347">
            <v>12</v>
          </cell>
        </row>
        <row r="348">
          <cell r="A348">
            <v>13</v>
          </cell>
        </row>
        <row r="349">
          <cell r="A349">
            <v>14</v>
          </cell>
        </row>
        <row r="350">
          <cell r="A350">
            <v>20</v>
          </cell>
        </row>
        <row r="351">
          <cell r="A351">
            <v>41</v>
          </cell>
        </row>
        <row r="352">
          <cell r="A352">
            <v>25</v>
          </cell>
        </row>
        <row r="353">
          <cell r="A353">
            <v>22</v>
          </cell>
        </row>
        <row r="354">
          <cell r="A354">
            <v>24</v>
          </cell>
        </row>
        <row r="356">
          <cell r="A356">
            <v>28</v>
          </cell>
        </row>
        <row r="357">
          <cell r="A357">
            <v>37</v>
          </cell>
        </row>
        <row r="358">
          <cell r="A358">
            <v>38</v>
          </cell>
        </row>
        <row r="359">
          <cell r="A359">
            <v>40</v>
          </cell>
        </row>
        <row r="360">
          <cell r="A360">
            <v>42</v>
          </cell>
        </row>
        <row r="361">
          <cell r="A361">
            <v>43</v>
          </cell>
        </row>
        <row r="362">
          <cell r="A362">
            <v>25</v>
          </cell>
        </row>
        <row r="363">
          <cell r="A363">
            <v>39</v>
          </cell>
        </row>
        <row r="364">
          <cell r="A364">
            <v>22</v>
          </cell>
        </row>
        <row r="365">
          <cell r="A365">
            <v>23</v>
          </cell>
        </row>
        <row r="369">
          <cell r="A369">
            <v>10</v>
          </cell>
        </row>
        <row r="370">
          <cell r="A370">
            <v>11</v>
          </cell>
        </row>
        <row r="371">
          <cell r="A371">
            <v>12</v>
          </cell>
        </row>
        <row r="372">
          <cell r="A372">
            <v>13</v>
          </cell>
        </row>
        <row r="373">
          <cell r="A373">
            <v>14</v>
          </cell>
        </row>
        <row r="374">
          <cell r="A374">
            <v>20</v>
          </cell>
        </row>
        <row r="375">
          <cell r="A375">
            <v>41</v>
          </cell>
        </row>
        <row r="376">
          <cell r="A376">
            <v>25</v>
          </cell>
        </row>
        <row r="377">
          <cell r="A377">
            <v>22</v>
          </cell>
        </row>
        <row r="378">
          <cell r="A378">
            <v>24</v>
          </cell>
        </row>
        <row r="380">
          <cell r="A380">
            <v>28</v>
          </cell>
        </row>
        <row r="381">
          <cell r="A381">
            <v>37</v>
          </cell>
        </row>
        <row r="382">
          <cell r="A382">
            <v>25</v>
          </cell>
        </row>
        <row r="383">
          <cell r="A383">
            <v>38</v>
          </cell>
        </row>
        <row r="384">
          <cell r="A384">
            <v>40</v>
          </cell>
        </row>
        <row r="385">
          <cell r="A385">
            <v>42</v>
          </cell>
        </row>
        <row r="386">
          <cell r="A386">
            <v>43</v>
          </cell>
        </row>
        <row r="387">
          <cell r="A387">
            <v>39</v>
          </cell>
        </row>
        <row r="388">
          <cell r="A388">
            <v>22</v>
          </cell>
        </row>
        <row r="389">
          <cell r="A389">
            <v>23</v>
          </cell>
        </row>
        <row r="393">
          <cell r="A393">
            <v>10</v>
          </cell>
        </row>
        <row r="394">
          <cell r="A394">
            <v>11</v>
          </cell>
        </row>
        <row r="395">
          <cell r="A395">
            <v>12</v>
          </cell>
        </row>
        <row r="396">
          <cell r="A396">
            <v>13</v>
          </cell>
        </row>
        <row r="397">
          <cell r="A397">
            <v>15</v>
          </cell>
        </row>
        <row r="398">
          <cell r="A398">
            <v>21</v>
          </cell>
        </row>
        <row r="399">
          <cell r="A399">
            <v>41</v>
          </cell>
        </row>
        <row r="400">
          <cell r="A400">
            <v>25</v>
          </cell>
        </row>
        <row r="401">
          <cell r="A401">
            <v>22</v>
          </cell>
        </row>
        <row r="402">
          <cell r="A402">
            <v>24</v>
          </cell>
        </row>
        <row r="404">
          <cell r="A404">
            <v>28</v>
          </cell>
        </row>
        <row r="405">
          <cell r="A405">
            <v>37</v>
          </cell>
        </row>
        <row r="406">
          <cell r="A406">
            <v>25</v>
          </cell>
        </row>
        <row r="407">
          <cell r="A407">
            <v>38</v>
          </cell>
        </row>
        <row r="408">
          <cell r="A408">
            <v>40</v>
          </cell>
        </row>
        <row r="409">
          <cell r="A409">
            <v>42</v>
          </cell>
        </row>
        <row r="410">
          <cell r="A410">
            <v>43</v>
          </cell>
        </row>
        <row r="411">
          <cell r="A411">
            <v>39</v>
          </cell>
        </row>
        <row r="412">
          <cell r="A412">
            <v>22</v>
          </cell>
        </row>
        <row r="413">
          <cell r="A413">
            <v>23</v>
          </cell>
        </row>
        <row r="417">
          <cell r="A417">
            <v>1</v>
          </cell>
        </row>
        <row r="418">
          <cell r="A418">
            <v>2</v>
          </cell>
        </row>
        <row r="419">
          <cell r="A419">
            <v>3</v>
          </cell>
        </row>
        <row r="420">
          <cell r="A420">
            <v>5</v>
          </cell>
        </row>
        <row r="421">
          <cell r="A421">
            <v>6</v>
          </cell>
        </row>
        <row r="422">
          <cell r="A422">
            <v>7</v>
          </cell>
        </row>
        <row r="423">
          <cell r="A423">
            <v>8</v>
          </cell>
        </row>
        <row r="424">
          <cell r="A424">
            <v>9</v>
          </cell>
        </row>
        <row r="425">
          <cell r="A425">
            <v>17</v>
          </cell>
        </row>
        <row r="426">
          <cell r="A426">
            <v>43</v>
          </cell>
        </row>
        <row r="427">
          <cell r="A427">
            <v>44</v>
          </cell>
        </row>
        <row r="428">
          <cell r="A428">
            <v>22</v>
          </cell>
        </row>
        <row r="429">
          <cell r="A429">
            <v>24</v>
          </cell>
        </row>
        <row r="431">
          <cell r="A431">
            <v>28</v>
          </cell>
        </row>
        <row r="432">
          <cell r="A432">
            <v>37</v>
          </cell>
        </row>
        <row r="433">
          <cell r="A433">
            <v>25</v>
          </cell>
        </row>
        <row r="434">
          <cell r="A434">
            <v>38</v>
          </cell>
        </row>
        <row r="435">
          <cell r="A435">
            <v>40</v>
          </cell>
        </row>
        <row r="436">
          <cell r="A436">
            <v>42</v>
          </cell>
        </row>
        <row r="437">
          <cell r="A437">
            <v>43</v>
          </cell>
        </row>
        <row r="438">
          <cell r="A438">
            <v>39</v>
          </cell>
        </row>
        <row r="439">
          <cell r="A439">
            <v>22</v>
          </cell>
        </row>
        <row r="440">
          <cell r="A440">
            <v>23</v>
          </cell>
        </row>
        <row r="448">
          <cell r="A448">
            <v>1</v>
          </cell>
        </row>
        <row r="449">
          <cell r="A449">
            <v>2</v>
          </cell>
        </row>
        <row r="450">
          <cell r="A450">
            <v>3</v>
          </cell>
        </row>
        <row r="451">
          <cell r="A451">
            <v>5</v>
          </cell>
        </row>
        <row r="452">
          <cell r="A452">
            <v>6</v>
          </cell>
        </row>
        <row r="453">
          <cell r="A453">
            <v>7</v>
          </cell>
        </row>
        <row r="454">
          <cell r="A454">
            <v>8</v>
          </cell>
        </row>
        <row r="455">
          <cell r="A455">
            <v>9</v>
          </cell>
        </row>
        <row r="456">
          <cell r="A456">
            <v>17</v>
          </cell>
        </row>
        <row r="457">
          <cell r="A457">
            <v>43</v>
          </cell>
        </row>
        <row r="458">
          <cell r="A458">
            <v>44</v>
          </cell>
        </row>
        <row r="459">
          <cell r="A459">
            <v>22</v>
          </cell>
        </row>
        <row r="460">
          <cell r="A460">
            <v>24</v>
          </cell>
        </row>
        <row r="462">
          <cell r="A462">
            <v>28</v>
          </cell>
        </row>
        <row r="463">
          <cell r="A463">
            <v>37</v>
          </cell>
        </row>
        <row r="464">
          <cell r="A464">
            <v>25</v>
          </cell>
        </row>
        <row r="465">
          <cell r="A465">
            <v>38</v>
          </cell>
        </row>
        <row r="466">
          <cell r="A466">
            <v>40</v>
          </cell>
        </row>
        <row r="467">
          <cell r="A467">
            <v>42</v>
          </cell>
        </row>
        <row r="468">
          <cell r="A468">
            <v>43</v>
          </cell>
        </row>
        <row r="469">
          <cell r="A469">
            <v>39</v>
          </cell>
        </row>
        <row r="470">
          <cell r="A470">
            <v>45</v>
          </cell>
        </row>
        <row r="471">
          <cell r="A471">
            <v>22</v>
          </cell>
        </row>
        <row r="472">
          <cell r="A472">
            <v>23</v>
          </cell>
        </row>
        <row r="476">
          <cell r="A476">
            <v>10</v>
          </cell>
        </row>
        <row r="477">
          <cell r="A477">
            <v>11</v>
          </cell>
        </row>
        <row r="478">
          <cell r="A478">
            <v>12</v>
          </cell>
        </row>
        <row r="479">
          <cell r="A479">
            <v>13</v>
          </cell>
        </row>
        <row r="480">
          <cell r="A480">
            <v>15</v>
          </cell>
        </row>
        <row r="481">
          <cell r="A481">
            <v>21</v>
          </cell>
        </row>
        <row r="482">
          <cell r="A482">
            <v>41</v>
          </cell>
        </row>
        <row r="483">
          <cell r="A483">
            <v>25</v>
          </cell>
        </row>
        <row r="484">
          <cell r="A484">
            <v>22</v>
          </cell>
        </row>
        <row r="485">
          <cell r="A485">
            <v>24</v>
          </cell>
        </row>
        <row r="487">
          <cell r="A487">
            <v>28</v>
          </cell>
        </row>
        <row r="488">
          <cell r="A488">
            <v>37</v>
          </cell>
        </row>
        <row r="489">
          <cell r="A489">
            <v>38</v>
          </cell>
        </row>
        <row r="490">
          <cell r="A490">
            <v>40</v>
          </cell>
        </row>
        <row r="491">
          <cell r="A491">
            <v>42</v>
          </cell>
        </row>
        <row r="492">
          <cell r="A492">
            <v>43</v>
          </cell>
        </row>
        <row r="493">
          <cell r="A493">
            <v>25</v>
          </cell>
        </row>
        <row r="494">
          <cell r="A494">
            <v>39</v>
          </cell>
        </row>
        <row r="495">
          <cell r="A495">
            <v>22</v>
          </cell>
        </row>
        <row r="496">
          <cell r="A496">
            <v>23</v>
          </cell>
        </row>
        <row r="500">
          <cell r="A500">
            <v>10</v>
          </cell>
        </row>
        <row r="501">
          <cell r="A501">
            <v>11</v>
          </cell>
        </row>
        <row r="502">
          <cell r="A502">
            <v>12</v>
          </cell>
        </row>
        <row r="503">
          <cell r="A503">
            <v>13</v>
          </cell>
        </row>
        <row r="504">
          <cell r="A504">
            <v>15</v>
          </cell>
        </row>
        <row r="505">
          <cell r="A505">
            <v>21</v>
          </cell>
        </row>
        <row r="506">
          <cell r="A506">
            <v>41</v>
          </cell>
        </row>
        <row r="507">
          <cell r="A507">
            <v>25</v>
          </cell>
        </row>
        <row r="508">
          <cell r="A508">
            <v>22</v>
          </cell>
        </row>
        <row r="509">
          <cell r="A509">
            <v>24</v>
          </cell>
        </row>
        <row r="511">
          <cell r="A511">
            <v>28</v>
          </cell>
        </row>
        <row r="512">
          <cell r="A512">
            <v>37</v>
          </cell>
        </row>
        <row r="513">
          <cell r="A513">
            <v>38</v>
          </cell>
        </row>
        <row r="514">
          <cell r="A514">
            <v>40</v>
          </cell>
        </row>
        <row r="515">
          <cell r="A515">
            <v>42</v>
          </cell>
        </row>
        <row r="516">
          <cell r="A516">
            <v>43</v>
          </cell>
        </row>
        <row r="517">
          <cell r="A517">
            <v>25</v>
          </cell>
        </row>
        <row r="518">
          <cell r="A518">
            <v>39</v>
          </cell>
        </row>
        <row r="519">
          <cell r="A519">
            <v>22</v>
          </cell>
        </row>
        <row r="520">
          <cell r="A520">
            <v>23</v>
          </cell>
        </row>
        <row r="522">
          <cell r="A522">
            <v>25</v>
          </cell>
        </row>
        <row r="524">
          <cell r="A524">
            <v>10</v>
          </cell>
        </row>
        <row r="525">
          <cell r="A525">
            <v>11</v>
          </cell>
        </row>
        <row r="526">
          <cell r="A526">
            <v>12</v>
          </cell>
        </row>
        <row r="527">
          <cell r="A527">
            <v>13</v>
          </cell>
        </row>
        <row r="528">
          <cell r="A528">
            <v>15</v>
          </cell>
        </row>
        <row r="529">
          <cell r="A529">
            <v>21</v>
          </cell>
        </row>
        <row r="530">
          <cell r="A530">
            <v>41</v>
          </cell>
        </row>
        <row r="531">
          <cell r="A531">
            <v>25</v>
          </cell>
        </row>
        <row r="532">
          <cell r="A532">
            <v>22</v>
          </cell>
        </row>
        <row r="533">
          <cell r="A533">
            <v>24</v>
          </cell>
        </row>
        <row r="535">
          <cell r="A535">
            <v>28</v>
          </cell>
        </row>
        <row r="536">
          <cell r="A536">
            <v>37</v>
          </cell>
        </row>
        <row r="537">
          <cell r="A537">
            <v>38</v>
          </cell>
        </row>
        <row r="538">
          <cell r="A538">
            <v>40</v>
          </cell>
        </row>
        <row r="539">
          <cell r="A539">
            <v>42</v>
          </cell>
        </row>
        <row r="540">
          <cell r="A540">
            <v>43</v>
          </cell>
        </row>
        <row r="541">
          <cell r="A541">
            <v>25</v>
          </cell>
        </row>
        <row r="542">
          <cell r="A542">
            <v>39</v>
          </cell>
        </row>
        <row r="543">
          <cell r="A543">
            <v>22</v>
          </cell>
        </row>
        <row r="544">
          <cell r="A544">
            <v>23</v>
          </cell>
        </row>
        <row r="548">
          <cell r="A548">
            <v>10</v>
          </cell>
        </row>
        <row r="549">
          <cell r="A549">
            <v>11</v>
          </cell>
        </row>
        <row r="550">
          <cell r="A550">
            <v>12</v>
          </cell>
        </row>
        <row r="551">
          <cell r="A551">
            <v>13</v>
          </cell>
        </row>
        <row r="552">
          <cell r="A552">
            <v>15</v>
          </cell>
        </row>
        <row r="553">
          <cell r="A553">
            <v>21</v>
          </cell>
        </row>
        <row r="554">
          <cell r="A554">
            <v>41</v>
          </cell>
        </row>
        <row r="555">
          <cell r="A555">
            <v>25</v>
          </cell>
        </row>
        <row r="556">
          <cell r="A556">
            <v>22</v>
          </cell>
        </row>
        <row r="557">
          <cell r="A557">
            <v>24</v>
          </cell>
        </row>
        <row r="559">
          <cell r="A559">
            <v>28</v>
          </cell>
        </row>
        <row r="560">
          <cell r="A560">
            <v>37</v>
          </cell>
        </row>
        <row r="561">
          <cell r="A561">
            <v>38</v>
          </cell>
        </row>
        <row r="562">
          <cell r="A562">
            <v>40</v>
          </cell>
        </row>
        <row r="563">
          <cell r="A563">
            <v>42</v>
          </cell>
        </row>
        <row r="564">
          <cell r="A564">
            <v>43</v>
          </cell>
        </row>
        <row r="565">
          <cell r="A565">
            <v>25</v>
          </cell>
        </row>
        <row r="566">
          <cell r="A566">
            <v>39</v>
          </cell>
        </row>
        <row r="567">
          <cell r="A567">
            <v>22</v>
          </cell>
        </row>
        <row r="568">
          <cell r="A568">
            <v>23</v>
          </cell>
        </row>
        <row r="572">
          <cell r="A572">
            <v>1</v>
          </cell>
        </row>
        <row r="573">
          <cell r="A573">
            <v>2</v>
          </cell>
        </row>
        <row r="574">
          <cell r="A574">
            <v>3</v>
          </cell>
        </row>
        <row r="575">
          <cell r="A575">
            <v>5</v>
          </cell>
        </row>
        <row r="576">
          <cell r="A576">
            <v>6</v>
          </cell>
        </row>
        <row r="577">
          <cell r="A577">
            <v>7</v>
          </cell>
        </row>
        <row r="578">
          <cell r="A578">
            <v>8</v>
          </cell>
        </row>
        <row r="579">
          <cell r="A579">
            <v>9</v>
          </cell>
        </row>
        <row r="580">
          <cell r="A580">
            <v>17</v>
          </cell>
        </row>
        <row r="581">
          <cell r="A581">
            <v>43</v>
          </cell>
        </row>
        <row r="582">
          <cell r="A582">
            <v>44</v>
          </cell>
        </row>
        <row r="583">
          <cell r="A583">
            <v>22</v>
          </cell>
        </row>
        <row r="584">
          <cell r="A584">
            <v>24</v>
          </cell>
        </row>
        <row r="586">
          <cell r="A586">
            <v>28</v>
          </cell>
        </row>
        <row r="587">
          <cell r="A587">
            <v>26</v>
          </cell>
        </row>
        <row r="588">
          <cell r="A588">
            <v>37</v>
          </cell>
        </row>
        <row r="589">
          <cell r="A589">
            <v>25</v>
          </cell>
        </row>
        <row r="590">
          <cell r="A590">
            <v>38</v>
          </cell>
        </row>
        <row r="591">
          <cell r="A591">
            <v>40</v>
          </cell>
        </row>
        <row r="592">
          <cell r="A592">
            <v>42</v>
          </cell>
        </row>
        <row r="593">
          <cell r="A593">
            <v>43</v>
          </cell>
        </row>
        <row r="594">
          <cell r="A594">
            <v>39</v>
          </cell>
        </row>
        <row r="595">
          <cell r="A595">
            <v>45</v>
          </cell>
        </row>
        <row r="596">
          <cell r="A596">
            <v>22</v>
          </cell>
        </row>
        <row r="597">
          <cell r="A597">
            <v>23</v>
          </cell>
        </row>
        <row r="601">
          <cell r="A601">
            <v>10</v>
          </cell>
        </row>
        <row r="602">
          <cell r="A602">
            <v>11</v>
          </cell>
        </row>
        <row r="603">
          <cell r="A603">
            <v>12</v>
          </cell>
        </row>
        <row r="604">
          <cell r="A604">
            <v>13</v>
          </cell>
        </row>
        <row r="605">
          <cell r="A605">
            <v>14</v>
          </cell>
        </row>
        <row r="606">
          <cell r="A606">
            <v>20</v>
          </cell>
        </row>
        <row r="607">
          <cell r="A607">
            <v>41</v>
          </cell>
        </row>
        <row r="608">
          <cell r="A608">
            <v>25</v>
          </cell>
        </row>
        <row r="609">
          <cell r="A609">
            <v>22</v>
          </cell>
        </row>
        <row r="610">
          <cell r="A610">
            <v>24</v>
          </cell>
        </row>
        <row r="612">
          <cell r="A612">
            <v>28</v>
          </cell>
        </row>
        <row r="613">
          <cell r="A613">
            <v>37</v>
          </cell>
        </row>
        <row r="614">
          <cell r="A614">
            <v>38</v>
          </cell>
        </row>
        <row r="615">
          <cell r="A615">
            <v>40</v>
          </cell>
        </row>
        <row r="616">
          <cell r="A616">
            <v>42</v>
          </cell>
        </row>
        <row r="617">
          <cell r="A617">
            <v>43</v>
          </cell>
        </row>
        <row r="618">
          <cell r="A618">
            <v>25</v>
          </cell>
        </row>
        <row r="619">
          <cell r="A619">
            <v>39</v>
          </cell>
        </row>
        <row r="620">
          <cell r="A620">
            <v>22</v>
          </cell>
        </row>
        <row r="621">
          <cell r="A621">
            <v>23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 54 m (T31~T35)"/>
      <sheetName val="Coc 57 m (T31~T35)"/>
      <sheetName val="Coc 58 m (T31~T35)"/>
      <sheetName val="Coc 58 m (T36~T40)"/>
      <sheetName val="Coc 59 m (T36~T40)"/>
      <sheetName val="Coc 60 m (T36~T40)"/>
      <sheetName val="Coc 65 m (T36~T40)"/>
      <sheetName val="Coc 70 m (T36~T40)"/>
      <sheetName val="Coc 38 m (T41~T45)"/>
      <sheetName val="Coc 50 m (T41~T45)"/>
      <sheetName val="Coc 37 m (T46~T50)"/>
      <sheetName val="Coc 39 m (T46~T50)"/>
      <sheetName val="Coc 40 m (T46~T50)"/>
      <sheetName val="Coc 45 m (T46~T50)"/>
      <sheetName val="Coc 33 m (T51~T53)"/>
      <sheetName val="Coc 39 m (T51~T53)"/>
      <sheetName val="Coc 32 m(Cho mo)"/>
      <sheetName val="Kldv"/>
      <sheetName val="XL4Test5"/>
      <sheetName val="Coc 39 m (T52~T53)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/>
      <sheetData sheetId="2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"/>
      <sheetName val="TH ( in) (E)"/>
      <sheetName val="Tong hop-2"/>
      <sheetName val="DT - BL 2"/>
      <sheetName val="DG- CT2"/>
      <sheetName val="DG- CT2 (2)"/>
      <sheetName val="BT Hang (4)"/>
      <sheetName val="VL-NC-M"/>
      <sheetName val="HE SO"/>
      <sheetName val="HE SO (2)"/>
      <sheetName val="T-A"/>
      <sheetName val="TH ( in)"/>
      <sheetName val="Tong hop"/>
      <sheetName val="Tong hop (2)"/>
      <sheetName val="BenLuc"/>
      <sheetName val="DG- CT2 (5)"/>
      <sheetName val="1.20"/>
      <sheetName val="1.20 (2)"/>
      <sheetName val="VP HN (1)"/>
      <sheetName val="VP HN (2)"/>
      <sheetName val="Nha o TVHN (2)"/>
      <sheetName val="Ty phoi BT"/>
      <sheetName val="Nha o TVHN "/>
      <sheetName val="BT Hang (2)"/>
      <sheetName val="BT Hang"/>
      <sheetName val="Betong"/>
      <sheetName val="CP KHAC"/>
      <sheetName val="00000000"/>
      <sheetName val="Tong_ke"/>
      <sheetName val="Bepong"/>
      <sheetName val="Gtable(19)"/>
      <sheetName val="Coc 32 m(Cho mo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5">
          <cell r="F15">
            <v>1.2349000000000001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 refreshError="1"/>
      <sheetData sheetId="3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"/>
      <sheetName val="M"/>
      <sheetName val="PC"/>
      <sheetName val="TH"/>
      <sheetName val="TH1"/>
      <sheetName val="DT1"/>
      <sheetName val="DG1"/>
      <sheetName val="DG1cong"/>
      <sheetName val="TH2"/>
      <sheetName val="DT2"/>
      <sheetName val="DG2"/>
      <sheetName val="DG2cong"/>
      <sheetName val="VLG"/>
      <sheetName val="KL"/>
      <sheetName val="Vua"/>
      <sheetName val="HSPC1moi"/>
      <sheetName val="HSPC2"/>
      <sheetName val="00000000"/>
      <sheetName val="XXXXXXXX"/>
      <sheetName val="XL4Poppy"/>
      <sheetName val="HSPC1"/>
      <sheetName val="A6,MA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C"/>
      <sheetName val="TVL"/>
      <sheetName val="ptdg"/>
      <sheetName val="DTCT"/>
      <sheetName val="TH"/>
      <sheetName val="KSTK"/>
      <sheetName val="NTKL"/>
      <sheetName val="Den bu"/>
      <sheetName val="trabang"/>
      <sheetName val="Dg Dchat"/>
      <sheetName val="Dg Dhinh"/>
      <sheetName val="KLNT"/>
      <sheetName val="Congty"/>
      <sheetName val="VPPN"/>
      <sheetName val="XN74"/>
      <sheetName val="XN54"/>
      <sheetName val="XN33"/>
      <sheetName val="NK96"/>
      <sheetName val="XL4Test5"/>
      <sheetName val="C.noTX01"/>
      <sheetName val="Sheet2"/>
      <sheetName val="Chart1"/>
      <sheetName val="T.HopCNo"/>
      <sheetName val="Sheet1"/>
      <sheetName val="THCNoATrung"/>
      <sheetName val="Sheet6"/>
      <sheetName val="BaocaoC.No2"/>
      <sheetName val="BaocaoC.noHopC.ty"/>
      <sheetName val="THAtraQuy"/>
      <sheetName val="No Ca.N"/>
      <sheetName val="C.tiêt C.ty"/>
      <sheetName val="CN.TCT03"/>
      <sheetName val="CN kho đoi"/>
      <sheetName val="T.Hop CN"/>
      <sheetName val="CTHTchưa TTnộibộ"/>
      <sheetName val="CN2004 Nộp TCT"/>
      <sheetName val="CN TCT04"/>
      <sheetName val="XXXXXXXX"/>
      <sheetName val="Sheet3"/>
      <sheetName val="2G.04"/>
      <sheetName val="2G.05"/>
      <sheetName val="2G.06"/>
      <sheetName val="2G.07"/>
      <sheetName val="2G.08"/>
      <sheetName val="2G.09"/>
      <sheetName val="2G.10"/>
      <sheetName val="kl bun"/>
      <sheetName val="kl xay"/>
      <sheetName val="kl dao dat"/>
      <sheetName val="kl lop lot"/>
      <sheetName val="kl san gat"/>
      <sheetName val="2G.11"/>
      <sheetName val="XXXXXXX0"/>
      <sheetName val="XXXXXXX1"/>
      <sheetName val="Sheet1 (2)"/>
      <sheetName val="chi phi doi"/>
      <sheetName val="Doanh thu"/>
      <sheetName val="TSCD"/>
      <sheetName val="chung tu TM"/>
      <sheetName val="chung tu NH"/>
      <sheetName val="So ke toan"/>
      <sheetName val="00000000"/>
      <sheetName val="10000000"/>
      <sheetName val="XL4Poppy"/>
      <sheetName val="Tra_bang"/>
      <sheetName val="Cap. Acc. Mat"/>
      <sheetName val="Combination"/>
      <sheetName val="CN kho doi"/>
      <sheetName val="CTHTchua TTn_ib_"/>
      <sheetName val="CN2004 N_p TCT"/>
      <sheetName val="TAN"/>
      <sheetName val="TAN (2)"/>
      <sheetName val="DAI"/>
      <sheetName val="cut"/>
      <sheetName val="Loading"/>
      <sheetName val="Check C"/>
      <sheetName val="tra-vat-lieu"/>
      <sheetName val="gvl"/>
      <sheetName val="XN'4"/>
      <sheetName val="CTHTchua TTn?ib?"/>
      <sheetName val="CN2004 N?p TCT"/>
      <sheetName val="Names"/>
      <sheetName val="DG "/>
      <sheetName val="Chi tiet"/>
    </sheetNames>
    <sheetDataSet>
      <sheetData sheetId="0"/>
      <sheetData sheetId="1"/>
      <sheetData sheetId="2"/>
      <sheetData sheetId="3" refreshError="1">
        <row r="8">
          <cell r="A8">
            <v>55</v>
          </cell>
        </row>
        <row r="9">
          <cell r="A9">
            <v>56</v>
          </cell>
        </row>
        <row r="10">
          <cell r="A10">
            <v>58</v>
          </cell>
        </row>
        <row r="11">
          <cell r="A11">
            <v>60</v>
          </cell>
        </row>
        <row r="12">
          <cell r="A12">
            <v>59</v>
          </cell>
        </row>
        <row r="13">
          <cell r="A13">
            <v>65</v>
          </cell>
        </row>
        <row r="14">
          <cell r="A14">
            <v>62</v>
          </cell>
        </row>
        <row r="15">
          <cell r="A15">
            <v>63</v>
          </cell>
        </row>
        <row r="16">
          <cell r="A16">
            <v>25</v>
          </cell>
        </row>
        <row r="18">
          <cell r="A18">
            <v>33</v>
          </cell>
        </row>
        <row r="19">
          <cell r="A19">
            <v>34</v>
          </cell>
        </row>
        <row r="20">
          <cell r="A20">
            <v>35</v>
          </cell>
        </row>
        <row r="21">
          <cell r="A21">
            <v>36</v>
          </cell>
        </row>
        <row r="22">
          <cell r="A22">
            <v>37</v>
          </cell>
        </row>
        <row r="23">
          <cell r="A23">
            <v>71</v>
          </cell>
        </row>
        <row r="24">
          <cell r="A24">
            <v>70</v>
          </cell>
        </row>
        <row r="25">
          <cell r="A25">
            <v>80</v>
          </cell>
        </row>
        <row r="26">
          <cell r="A26">
            <v>81</v>
          </cell>
        </row>
        <row r="27">
          <cell r="A27">
            <v>65</v>
          </cell>
        </row>
        <row r="28">
          <cell r="A28">
            <v>10</v>
          </cell>
        </row>
        <row r="30">
          <cell r="A30">
            <v>15</v>
          </cell>
        </row>
        <row r="31">
          <cell r="A31">
            <v>14</v>
          </cell>
        </row>
        <row r="33">
          <cell r="A33">
            <v>26</v>
          </cell>
        </row>
        <row r="34">
          <cell r="A34">
            <v>27</v>
          </cell>
        </row>
        <row r="35">
          <cell r="A35">
            <v>28</v>
          </cell>
        </row>
        <row r="36">
          <cell r="A36">
            <v>29</v>
          </cell>
        </row>
        <row r="37">
          <cell r="A37">
            <v>30</v>
          </cell>
        </row>
        <row r="38">
          <cell r="A38">
            <v>31</v>
          </cell>
        </row>
        <row r="40">
          <cell r="A40">
            <v>42</v>
          </cell>
        </row>
        <row r="41">
          <cell r="A41">
            <v>43</v>
          </cell>
        </row>
        <row r="42">
          <cell r="A42">
            <v>52</v>
          </cell>
        </row>
        <row r="43">
          <cell r="A43">
            <v>53</v>
          </cell>
        </row>
        <row r="44">
          <cell r="A44">
            <v>57</v>
          </cell>
        </row>
        <row r="47">
          <cell r="A47">
            <v>54</v>
          </cell>
        </row>
        <row r="48">
          <cell r="A48">
            <v>72</v>
          </cell>
        </row>
        <row r="49">
          <cell r="A49">
            <v>51</v>
          </cell>
        </row>
        <row r="50">
          <cell r="A50">
            <v>63</v>
          </cell>
        </row>
        <row r="51">
          <cell r="A51">
            <v>62</v>
          </cell>
        </row>
        <row r="52">
          <cell r="A52">
            <v>64</v>
          </cell>
        </row>
        <row r="54">
          <cell r="A54">
            <v>88</v>
          </cell>
        </row>
        <row r="55">
          <cell r="A55">
            <v>89</v>
          </cell>
        </row>
        <row r="56">
          <cell r="A56">
            <v>44</v>
          </cell>
        </row>
        <row r="57">
          <cell r="A57">
            <v>87</v>
          </cell>
        </row>
        <row r="59">
          <cell r="A59" t="str">
            <v>VL</v>
          </cell>
        </row>
        <row r="67">
          <cell r="A67">
            <v>41</v>
          </cell>
        </row>
        <row r="69">
          <cell r="A69">
            <v>41</v>
          </cell>
        </row>
        <row r="70">
          <cell r="A70">
            <v>12</v>
          </cell>
        </row>
        <row r="71">
          <cell r="A71">
            <v>32</v>
          </cell>
        </row>
        <row r="72">
          <cell r="A72">
            <v>9</v>
          </cell>
        </row>
        <row r="73">
          <cell r="A73">
            <v>11</v>
          </cell>
        </row>
        <row r="75">
          <cell r="A75">
            <v>39</v>
          </cell>
        </row>
        <row r="76">
          <cell r="A76">
            <v>40</v>
          </cell>
        </row>
        <row r="77">
          <cell r="A77">
            <v>43</v>
          </cell>
        </row>
        <row r="78">
          <cell r="A78">
            <v>38</v>
          </cell>
        </row>
        <row r="79">
          <cell r="A79">
            <v>79</v>
          </cell>
        </row>
        <row r="80">
          <cell r="A80">
            <v>21</v>
          </cell>
        </row>
        <row r="81">
          <cell r="A81">
            <v>23</v>
          </cell>
        </row>
        <row r="82">
          <cell r="A82">
            <v>24</v>
          </cell>
        </row>
        <row r="84">
          <cell r="A84">
            <v>44</v>
          </cell>
        </row>
        <row r="85">
          <cell r="A85">
            <v>49</v>
          </cell>
        </row>
        <row r="86">
          <cell r="A86">
            <v>50</v>
          </cell>
        </row>
        <row r="87">
          <cell r="A87">
            <v>47</v>
          </cell>
        </row>
        <row r="88">
          <cell r="A88">
            <v>61</v>
          </cell>
        </row>
        <row r="89">
          <cell r="A89">
            <v>48</v>
          </cell>
        </row>
        <row r="90">
          <cell r="A90">
            <v>66</v>
          </cell>
        </row>
        <row r="91">
          <cell r="A91">
            <v>67</v>
          </cell>
        </row>
        <row r="92">
          <cell r="A92">
            <v>68</v>
          </cell>
        </row>
        <row r="93">
          <cell r="A93">
            <v>69</v>
          </cell>
        </row>
        <row r="94">
          <cell r="A94">
            <v>51</v>
          </cell>
        </row>
        <row r="95">
          <cell r="A95">
            <v>45</v>
          </cell>
        </row>
        <row r="96">
          <cell r="A96">
            <v>46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97</v>
          </cell>
        </row>
        <row r="101">
          <cell r="A101">
            <v>98</v>
          </cell>
        </row>
        <row r="102">
          <cell r="A102">
            <v>58</v>
          </cell>
        </row>
        <row r="103">
          <cell r="A103">
            <v>59</v>
          </cell>
        </row>
        <row r="104">
          <cell r="A104">
            <v>51</v>
          </cell>
        </row>
        <row r="105">
          <cell r="A105">
            <v>56</v>
          </cell>
        </row>
        <row r="106">
          <cell r="A106">
            <v>84</v>
          </cell>
        </row>
        <row r="107">
          <cell r="A107">
            <v>94</v>
          </cell>
        </row>
        <row r="108">
          <cell r="A108">
            <v>72</v>
          </cell>
        </row>
        <row r="110">
          <cell r="A110">
            <v>85</v>
          </cell>
        </row>
        <row r="111">
          <cell r="A111">
            <v>96</v>
          </cell>
        </row>
        <row r="112">
          <cell r="A112">
            <v>92</v>
          </cell>
        </row>
        <row r="113">
          <cell r="A113">
            <v>95</v>
          </cell>
        </row>
        <row r="114">
          <cell r="A114">
            <v>84</v>
          </cell>
        </row>
        <row r="115">
          <cell r="A115">
            <v>94</v>
          </cell>
        </row>
        <row r="116">
          <cell r="A116">
            <v>12</v>
          </cell>
        </row>
        <row r="117">
          <cell r="A117">
            <v>90</v>
          </cell>
        </row>
        <row r="118">
          <cell r="A118">
            <v>91</v>
          </cell>
        </row>
        <row r="120">
          <cell r="A120">
            <v>85</v>
          </cell>
        </row>
        <row r="121">
          <cell r="A121">
            <v>86</v>
          </cell>
        </row>
        <row r="122">
          <cell r="A122">
            <v>93</v>
          </cell>
        </row>
        <row r="123">
          <cell r="A123">
            <v>94</v>
          </cell>
        </row>
        <row r="124">
          <cell r="A124">
            <v>96</v>
          </cell>
        </row>
        <row r="125">
          <cell r="A125">
            <v>84</v>
          </cell>
        </row>
        <row r="126">
          <cell r="A126">
            <v>12</v>
          </cell>
        </row>
        <row r="128">
          <cell r="A128">
            <v>76</v>
          </cell>
        </row>
        <row r="129">
          <cell r="A129">
            <v>73</v>
          </cell>
        </row>
        <row r="130">
          <cell r="A130">
            <v>74</v>
          </cell>
        </row>
        <row r="131">
          <cell r="A131">
            <v>77</v>
          </cell>
        </row>
        <row r="132">
          <cell r="A132">
            <v>78</v>
          </cell>
        </row>
        <row r="133">
          <cell r="A133">
            <v>75</v>
          </cell>
        </row>
        <row r="135">
          <cell r="A135">
            <v>82</v>
          </cell>
        </row>
        <row r="136">
          <cell r="A136">
            <v>81</v>
          </cell>
        </row>
        <row r="137">
          <cell r="A137">
            <v>16</v>
          </cell>
        </row>
        <row r="139">
          <cell r="A139">
            <v>84</v>
          </cell>
        </row>
        <row r="140">
          <cell r="A140">
            <v>85</v>
          </cell>
        </row>
        <row r="141">
          <cell r="A141">
            <v>94</v>
          </cell>
        </row>
        <row r="142">
          <cell r="A142">
            <v>96</v>
          </cell>
        </row>
        <row r="144">
          <cell r="A144">
            <v>73</v>
          </cell>
        </row>
        <row r="145">
          <cell r="A145">
            <v>74</v>
          </cell>
        </row>
        <row r="146">
          <cell r="A146">
            <v>78</v>
          </cell>
        </row>
        <row r="147">
          <cell r="A147">
            <v>11</v>
          </cell>
        </row>
        <row r="148">
          <cell r="A148">
            <v>10</v>
          </cell>
        </row>
        <row r="149">
          <cell r="A149">
            <v>18</v>
          </cell>
        </row>
        <row r="150">
          <cell r="A150">
            <v>12</v>
          </cell>
        </row>
        <row r="151">
          <cell r="A151">
            <v>75</v>
          </cell>
        </row>
        <row r="152">
          <cell r="A152">
            <v>79</v>
          </cell>
        </row>
        <row r="153">
          <cell r="A153">
            <v>21</v>
          </cell>
        </row>
        <row r="154">
          <cell r="A154">
            <v>22</v>
          </cell>
        </row>
        <row r="155">
          <cell r="A155">
            <v>23</v>
          </cell>
        </row>
        <row r="156">
          <cell r="A156">
            <v>24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>
      <selection activeCell="C1" sqref="C1"/>
    </sheetView>
  </sheetViews>
  <sheetFormatPr defaultColWidth="7.125" defaultRowHeight="12.75"/>
  <cols>
    <col min="1" max="1" width="23.25" style="1" customWidth="1"/>
    <col min="2" max="2" width="1" style="1" customWidth="1"/>
    <col min="3" max="3" width="25" style="1" customWidth="1"/>
    <col min="4" max="16384" width="7.125" style="1"/>
  </cols>
  <sheetData>
    <row r="1" spans="1:3" ht="15">
      <c r="A1"/>
      <c r="C1"/>
    </row>
    <row r="2" spans="1:3" ht="15.75" thickBot="1">
      <c r="A2"/>
    </row>
    <row r="3" spans="1:3" ht="15.75" thickBot="1">
      <c r="A3"/>
      <c r="C3"/>
    </row>
    <row r="4" spans="1:3" ht="15">
      <c r="A4"/>
      <c r="C4"/>
    </row>
    <row r="5" spans="1:3" ht="15">
      <c r="C5"/>
    </row>
    <row r="6" spans="1:3" ht="15.75" thickBot="1">
      <c r="C6"/>
    </row>
    <row r="7" spans="1:3" ht="15">
      <c r="A7"/>
      <c r="C7"/>
    </row>
    <row r="8" spans="1:3" ht="15">
      <c r="A8"/>
      <c r="C8"/>
    </row>
    <row r="9" spans="1:3" ht="15">
      <c r="A9"/>
      <c r="C9"/>
    </row>
    <row r="10" spans="1:3" ht="15">
      <c r="A10"/>
      <c r="C10"/>
    </row>
    <row r="11" spans="1:3" ht="15.75" thickBot="1">
      <c r="A11"/>
      <c r="C11"/>
    </row>
    <row r="12" spans="1:3" ht="15">
      <c r="C12"/>
    </row>
    <row r="13" spans="1:3" ht="15.75" thickBot="1">
      <c r="C13"/>
    </row>
    <row r="14" spans="1:3" ht="15.75" thickBot="1">
      <c r="A14"/>
      <c r="C14" s="2"/>
    </row>
    <row r="15" spans="1:3" ht="15">
      <c r="A15"/>
    </row>
    <row r="16" spans="1:3" ht="15.75" thickBot="1">
      <c r="A16"/>
    </row>
    <row r="17" spans="1:3" ht="15.75" thickBot="1">
      <c r="A17" s="2"/>
      <c r="C17"/>
    </row>
    <row r="18" spans="1:3" ht="15">
      <c r="C18"/>
    </row>
    <row r="19" spans="1:3" ht="15">
      <c r="C19"/>
    </row>
    <row r="20" spans="1:3" ht="15">
      <c r="A20" s="2"/>
      <c r="C20"/>
    </row>
    <row r="21" spans="1:3" ht="15">
      <c r="A21" s="2"/>
      <c r="C21"/>
    </row>
    <row r="22" spans="1:3" ht="15">
      <c r="A22"/>
      <c r="C22"/>
    </row>
    <row r="23" spans="1:3" ht="15">
      <c r="A23"/>
      <c r="C23" s="2"/>
    </row>
    <row r="24" spans="1:3" ht="15">
      <c r="A24"/>
    </row>
    <row r="25" spans="1:3" ht="15">
      <c r="A25"/>
    </row>
    <row r="26" spans="1:3" ht="15.75" thickBot="1">
      <c r="A26"/>
      <c r="C26" s="2"/>
    </row>
    <row r="27" spans="1:3" ht="15">
      <c r="A27"/>
      <c r="C27"/>
    </row>
    <row r="28" spans="1:3" ht="15">
      <c r="A28"/>
      <c r="C28"/>
    </row>
    <row r="29" spans="1:3" ht="15">
      <c r="A29"/>
      <c r="C29"/>
    </row>
    <row r="30" spans="1:3" ht="15">
      <c r="A30"/>
      <c r="C30"/>
    </row>
    <row r="31" spans="1:3" ht="15">
      <c r="A31"/>
      <c r="C31"/>
    </row>
    <row r="32" spans="1:3" ht="15">
      <c r="A32"/>
      <c r="C32"/>
    </row>
    <row r="33" spans="1:3" ht="15">
      <c r="A33"/>
      <c r="C33"/>
    </row>
    <row r="34" spans="1:3" ht="15">
      <c r="A34"/>
      <c r="C34"/>
    </row>
    <row r="35" spans="1:3" ht="15">
      <c r="A35"/>
      <c r="C35"/>
    </row>
    <row r="36" spans="1:3" ht="15">
      <c r="A36"/>
      <c r="C36" s="2"/>
    </row>
    <row r="37" spans="1:3" ht="15">
      <c r="A37"/>
    </row>
    <row r="38" spans="1:3" ht="15">
      <c r="A38"/>
    </row>
    <row r="39" spans="1:3" ht="15">
      <c r="A39"/>
      <c r="C39" s="2"/>
    </row>
    <row r="40" spans="1:3" ht="15">
      <c r="A40"/>
      <c r="C40"/>
    </row>
    <row r="41" spans="1:3" ht="15">
      <c r="A41" s="2"/>
      <c r="C41" s="2"/>
    </row>
  </sheetData>
  <sheetProtection password="8863" sheet="1" objects="1"/>
  <phoneticPr fontId="1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workbookViewId="0">
      <selection activeCell="B2" sqref="B2"/>
    </sheetView>
  </sheetViews>
  <sheetFormatPr defaultColWidth="9" defaultRowHeight="18.75"/>
  <cols>
    <col min="1" max="1" width="6.5" style="5" customWidth="1"/>
    <col min="2" max="2" width="29.5" style="5" customWidth="1"/>
    <col min="3" max="3" width="19.75" style="5" customWidth="1"/>
    <col min="4" max="4" width="21.5" style="3" bestFit="1" customWidth="1"/>
    <col min="5" max="6" width="21.5" style="3" customWidth="1"/>
    <col min="7" max="7" width="16.875" style="4" customWidth="1"/>
    <col min="8" max="8" width="21.125" style="6" customWidth="1"/>
    <col min="9" max="9" width="15" style="6" customWidth="1"/>
    <col min="10" max="10" width="14.5" style="3" customWidth="1"/>
    <col min="11" max="11" width="13.375" style="19" customWidth="1"/>
    <col min="12" max="12" width="12.625" style="20" customWidth="1"/>
    <col min="13" max="13" width="15.5" style="4" customWidth="1"/>
    <col min="14" max="14" width="0" style="3" hidden="1" customWidth="1"/>
    <col min="15" max="15" width="9" style="3"/>
    <col min="16" max="16" width="12.5" style="3" bestFit="1" customWidth="1"/>
    <col min="17" max="17" width="10.125" style="3" bestFit="1" customWidth="1"/>
    <col min="18" max="18" width="12.5" style="3" bestFit="1" customWidth="1"/>
    <col min="19" max="16384" width="9" style="3"/>
  </cols>
  <sheetData>
    <row r="1" spans="1:16" ht="33">
      <c r="A1" s="21" t="s">
        <v>66</v>
      </c>
      <c r="B1" s="21" t="s">
        <v>67</v>
      </c>
      <c r="C1" s="21" t="s">
        <v>68</v>
      </c>
      <c r="D1" s="22" t="s">
        <v>0</v>
      </c>
      <c r="E1" s="28" t="s">
        <v>75</v>
      </c>
      <c r="F1" s="28" t="s">
        <v>77</v>
      </c>
      <c r="G1" s="24" t="s">
        <v>76</v>
      </c>
      <c r="H1" s="25" t="s">
        <v>69</v>
      </c>
      <c r="I1" s="25" t="s">
        <v>70</v>
      </c>
      <c r="J1" s="23" t="s">
        <v>1</v>
      </c>
      <c r="K1" s="26" t="s">
        <v>71</v>
      </c>
      <c r="L1" s="26" t="s">
        <v>72</v>
      </c>
      <c r="P1" s="14"/>
    </row>
    <row r="2" spans="1:16" ht="17.25" customHeight="1">
      <c r="A2" s="7"/>
      <c r="B2" s="8"/>
      <c r="C2" s="8" t="e">
        <f>VLOOKUP(B2,'Dụng cụ'!$B$2:$C$997,2,FALSE)</f>
        <v>#N/A</v>
      </c>
      <c r="D2" s="8" t="e">
        <f>VLOOKUP(B2,'Dụng cụ'!$B$2:$D$997,3,FALSE)</f>
        <v>#N/A</v>
      </c>
      <c r="E2" s="8"/>
      <c r="F2" s="8"/>
      <c r="G2" s="7"/>
      <c r="H2" s="7"/>
      <c r="I2" s="8" t="e">
        <f>INDEX(DM_Donvi!$A$1:$A$500,MATCH(KHSX!H2,DM_Donvi!$B$1:$B$500,0))</f>
        <v>#N/A</v>
      </c>
      <c r="J2" s="10"/>
      <c r="K2" s="18"/>
      <c r="L2" s="18"/>
    </row>
  </sheetData>
  <phoneticPr fontId="49" type="noConversion"/>
  <dataValidations count="1">
    <dataValidation type="list" allowBlank="1" showInputMessage="1" sqref="B2" xr:uid="{00000000-0002-0000-0100-000000000000}">
      <formula1>ds_dungcu</formula1>
    </dataValidation>
  </dataValidations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DM_Donvi!$B:$B</xm:f>
          </x14:formula1>
          <xm:sqref>H2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3"/>
  <sheetViews>
    <sheetView workbookViewId="0">
      <selection activeCell="B32" sqref="B32"/>
    </sheetView>
  </sheetViews>
  <sheetFormatPr defaultRowHeight="15.75"/>
  <cols>
    <col min="1" max="1" width="20.125" style="30" customWidth="1"/>
    <col min="2" max="2" width="32.75" style="30" customWidth="1"/>
    <col min="3" max="3" width="24" style="30" customWidth="1"/>
    <col min="4" max="4" width="20.125" style="30" customWidth="1"/>
    <col min="5" max="16384" width="9" style="30"/>
  </cols>
  <sheetData>
    <row r="1" spans="1:4">
      <c r="A1" s="29" t="s">
        <v>41</v>
      </c>
      <c r="B1" s="29" t="s">
        <v>61</v>
      </c>
      <c r="C1" s="29" t="s">
        <v>42</v>
      </c>
      <c r="D1" s="29" t="s">
        <v>62</v>
      </c>
    </row>
    <row r="2" spans="1:4">
      <c r="A2" s="8" t="s">
        <v>25</v>
      </c>
      <c r="B2" s="15" t="str">
        <f>CONCATENATE(A2," - ",IF(D2="",C2,D2))</f>
        <v>Kìm bón phôi - VL.Đ30-DB-08-1</v>
      </c>
      <c r="C2" s="32" t="s">
        <v>43</v>
      </c>
      <c r="D2" s="9" t="s">
        <v>35</v>
      </c>
    </row>
    <row r="3" spans="1:4">
      <c r="A3" s="12" t="s">
        <v>12</v>
      </c>
      <c r="B3" s="15" t="str">
        <f t="shared" ref="B3:B66" si="0">CONCATENATE(A3," - ",IF(D3="",C3,D3))</f>
        <v>Áo cối 1 - VL.Đ30-DB-08-2</v>
      </c>
      <c r="C3" s="32" t="s">
        <v>60</v>
      </c>
      <c r="D3" s="9" t="s">
        <v>36</v>
      </c>
    </row>
    <row r="4" spans="1:4">
      <c r="A4" s="9" t="s">
        <v>30</v>
      </c>
      <c r="B4" s="15" t="str">
        <f t="shared" si="0"/>
        <v>Chày dập vuốt 2 - VL.Đ30-DB-09</v>
      </c>
      <c r="C4" s="32" t="s">
        <v>54</v>
      </c>
      <c r="D4" s="9" t="s">
        <v>34</v>
      </c>
    </row>
    <row r="5" spans="1:4">
      <c r="A5" s="12" t="s">
        <v>5</v>
      </c>
      <c r="B5" s="15" t="str">
        <f t="shared" si="0"/>
        <v>Cối 1 - VL.Đ30-KDB-00.25</v>
      </c>
      <c r="C5" s="32" t="s">
        <v>57</v>
      </c>
      <c r="D5" s="9" t="s">
        <v>33</v>
      </c>
    </row>
    <row r="6" spans="1:4">
      <c r="A6" s="12" t="s">
        <v>6</v>
      </c>
      <c r="B6" s="15" t="str">
        <f t="shared" si="0"/>
        <v>Cối 2 - VL.Đ30-KDB-00.17</v>
      </c>
      <c r="C6" s="32" t="s">
        <v>58</v>
      </c>
      <c r="D6" s="9" t="s">
        <v>39</v>
      </c>
    </row>
    <row r="7" spans="1:4">
      <c r="A7" s="12" t="s">
        <v>7</v>
      </c>
      <c r="B7" s="15" t="str">
        <f t="shared" si="0"/>
        <v>Cối 3 - QP.DBB.CNS17</v>
      </c>
      <c r="C7" s="32" t="s">
        <v>59</v>
      </c>
      <c r="D7" s="16"/>
    </row>
    <row r="8" spans="1:4">
      <c r="A8" s="9" t="s">
        <v>2</v>
      </c>
      <c r="B8" s="15" t="str">
        <f t="shared" si="0"/>
        <v>Cối dẫn - VL.Đ30-V2-01A</v>
      </c>
      <c r="C8" s="32" t="s">
        <v>50</v>
      </c>
      <c r="D8" s="9" t="s">
        <v>31</v>
      </c>
    </row>
    <row r="9" spans="1:4">
      <c r="A9" s="9" t="s">
        <v>2</v>
      </c>
      <c r="B9" s="15" t="str">
        <f t="shared" si="0"/>
        <v>Cối dẫn - VL.Đ30-V2-02</v>
      </c>
      <c r="C9" s="32" t="s">
        <v>55</v>
      </c>
      <c r="D9" s="9" t="s">
        <v>8</v>
      </c>
    </row>
    <row r="10" spans="1:4">
      <c r="A10" s="11" t="s">
        <v>28</v>
      </c>
      <c r="B10" s="15" t="str">
        <f t="shared" si="0"/>
        <v>Đinh tán Ø6x14 - VL.Đ30-V2-06</v>
      </c>
      <c r="C10" s="32" t="s">
        <v>48</v>
      </c>
      <c r="D10" s="9" t="s">
        <v>11</v>
      </c>
    </row>
    <row r="11" spans="1:4">
      <c r="A11" s="11" t="s">
        <v>27</v>
      </c>
      <c r="B11" s="15" t="str">
        <f t="shared" si="0"/>
        <v>Đinh vít - VL.Đ30-V2-03AKF</v>
      </c>
      <c r="C11" s="32" t="s">
        <v>46</v>
      </c>
      <c r="D11" s="9" t="s">
        <v>9</v>
      </c>
    </row>
    <row r="12" spans="1:4">
      <c r="A12" s="9" t="s">
        <v>3</v>
      </c>
      <c r="B12" s="15" t="str">
        <f t="shared" si="0"/>
        <v>Khuyên gạt - VL.Đ30-V2-04AKF</v>
      </c>
      <c r="C12" s="32" t="s">
        <v>56</v>
      </c>
      <c r="D12" s="9" t="s">
        <v>10</v>
      </c>
    </row>
    <row r="13" spans="1:4">
      <c r="A13" s="9" t="s">
        <v>4</v>
      </c>
      <c r="B13" s="15" t="str">
        <f t="shared" si="0"/>
        <v>Kìm bón phôi - VL.Đ30-V2-05BKF</v>
      </c>
      <c r="C13" s="32" t="s">
        <v>51</v>
      </c>
      <c r="D13" s="9" t="s">
        <v>24</v>
      </c>
    </row>
    <row r="14" spans="1:4">
      <c r="A14" s="11" t="s">
        <v>16</v>
      </c>
      <c r="B14" s="15" t="str">
        <f t="shared" si="0"/>
        <v>Lò xo - VL.Đ30-V2-07A</v>
      </c>
      <c r="C14" s="32" t="s">
        <v>47</v>
      </c>
      <c r="D14" s="9" t="s">
        <v>32</v>
      </c>
    </row>
    <row r="15" spans="1:4">
      <c r="A15" s="9" t="s">
        <v>29</v>
      </c>
      <c r="B15" s="15" t="str">
        <f t="shared" si="0"/>
        <v>Miệng kìm - VL.Đ30-V2-07</v>
      </c>
      <c r="C15" s="32" t="s">
        <v>49</v>
      </c>
      <c r="D15" s="9" t="s">
        <v>40</v>
      </c>
    </row>
    <row r="16" spans="1:4">
      <c r="A16" s="9" t="s">
        <v>20</v>
      </c>
      <c r="B16" s="15" t="str">
        <f t="shared" si="0"/>
        <v>Miệng kìm phải - VL.Đ30-V2-08</v>
      </c>
      <c r="C16" s="32" t="s">
        <v>53</v>
      </c>
      <c r="D16" s="9" t="s">
        <v>13</v>
      </c>
    </row>
    <row r="17" spans="1:4">
      <c r="A17" s="9" t="s">
        <v>19</v>
      </c>
      <c r="B17" s="15" t="str">
        <f t="shared" si="0"/>
        <v>Miệng kìm trái - VL.Đ30-V2-01A</v>
      </c>
      <c r="C17" s="32" t="s">
        <v>52</v>
      </c>
      <c r="D17" s="9" t="s">
        <v>31</v>
      </c>
    </row>
    <row r="18" spans="1:4">
      <c r="A18" s="13" t="s">
        <v>17</v>
      </c>
      <c r="B18" s="15" t="str">
        <f t="shared" si="0"/>
        <v>Tấm cố định - VL.Đ30-V2-02</v>
      </c>
      <c r="C18" s="32" t="s">
        <v>44</v>
      </c>
      <c r="D18" s="9" t="s">
        <v>8</v>
      </c>
    </row>
    <row r="19" spans="1:4">
      <c r="A19" s="11" t="s">
        <v>26</v>
      </c>
      <c r="B19" s="15" t="str">
        <f t="shared" si="0"/>
        <v>Ty kéo - QP.DBB.CNS03</v>
      </c>
      <c r="C19" s="32" t="s">
        <v>45</v>
      </c>
      <c r="D19" s="9"/>
    </row>
    <row r="20" spans="1:4">
      <c r="A20" s="17" t="s">
        <v>63</v>
      </c>
      <c r="B20" s="15" t="str">
        <f t="shared" si="0"/>
        <v>hh - uyuyuyu</v>
      </c>
      <c r="C20" s="32" t="s">
        <v>64</v>
      </c>
      <c r="D20" s="9" t="s">
        <v>65</v>
      </c>
    </row>
    <row r="21" spans="1:4">
      <c r="A21" s="8" t="s">
        <v>14</v>
      </c>
      <c r="B21" s="15" t="str">
        <f t="shared" si="0"/>
        <v>Bạc giữ chày con - VL.Đ30-DBĐ-04A</v>
      </c>
      <c r="C21" s="32"/>
      <c r="D21" s="9" t="s">
        <v>15</v>
      </c>
    </row>
    <row r="22" spans="1:4">
      <c r="A22" s="11" t="s">
        <v>17</v>
      </c>
      <c r="B22" s="15" t="str">
        <f t="shared" si="0"/>
        <v>Tấm cố định - 33009</v>
      </c>
      <c r="D22" s="13">
        <v>33009</v>
      </c>
    </row>
    <row r="23" spans="1:4">
      <c r="A23" s="11" t="s">
        <v>37</v>
      </c>
      <c r="B23" s="15" t="str">
        <f t="shared" si="0"/>
        <v xml:space="preserve">Chốt tròn - </v>
      </c>
      <c r="D23" s="9"/>
    </row>
    <row r="24" spans="1:4">
      <c r="A24" s="11" t="s">
        <v>37</v>
      </c>
      <c r="B24" s="15" t="str">
        <f t="shared" si="0"/>
        <v>Chốt tròn - VL.Đ30-DTHĐ-04-1</v>
      </c>
      <c r="D24" s="9" t="s">
        <v>21</v>
      </c>
    </row>
    <row r="25" spans="1:4">
      <c r="A25" s="11" t="s">
        <v>18</v>
      </c>
      <c r="B25" s="15" t="str">
        <f t="shared" si="0"/>
        <v>Cần kéo - VL.Đ30-DTHĐ-04-2</v>
      </c>
      <c r="D25" s="9" t="s">
        <v>22</v>
      </c>
    </row>
    <row r="26" spans="1:4">
      <c r="A26" s="11" t="s">
        <v>16</v>
      </c>
      <c r="B26" s="15" t="str">
        <f t="shared" si="0"/>
        <v xml:space="preserve">Lò xo - </v>
      </c>
      <c r="D26" s="9"/>
    </row>
    <row r="27" spans="1:4">
      <c r="A27" s="11" t="s">
        <v>38</v>
      </c>
      <c r="B27" s="15" t="str">
        <f t="shared" si="0"/>
        <v>Đai ốc  - VL.Đ30-DTHĐ-04-3</v>
      </c>
      <c r="D27" s="9" t="s">
        <v>23</v>
      </c>
    </row>
    <row r="28" spans="1:4">
      <c r="A28" s="27" t="s">
        <v>73</v>
      </c>
      <c r="B28" s="15" t="str">
        <f t="shared" si="0"/>
        <v xml:space="preserve">An Liêm - </v>
      </c>
    </row>
    <row r="29" spans="1:4">
      <c r="B29" s="15" t="str">
        <f t="shared" si="0"/>
        <v xml:space="preserve"> - </v>
      </c>
    </row>
    <row r="30" spans="1:4">
      <c r="B30" s="15" t="str">
        <f t="shared" si="0"/>
        <v xml:space="preserve"> - </v>
      </c>
    </row>
    <row r="31" spans="1:4">
      <c r="B31" s="15" t="str">
        <f t="shared" si="0"/>
        <v xml:space="preserve"> - </v>
      </c>
    </row>
    <row r="32" spans="1:4">
      <c r="B32" s="15" t="str">
        <f t="shared" si="0"/>
        <v xml:space="preserve"> - </v>
      </c>
    </row>
    <row r="33" spans="2:2">
      <c r="B33" s="15" t="str">
        <f t="shared" si="0"/>
        <v xml:space="preserve"> - </v>
      </c>
    </row>
    <row r="34" spans="2:2">
      <c r="B34" s="15" t="str">
        <f t="shared" si="0"/>
        <v xml:space="preserve"> - </v>
      </c>
    </row>
    <row r="35" spans="2:2">
      <c r="B35" s="15" t="str">
        <f t="shared" si="0"/>
        <v xml:space="preserve"> - </v>
      </c>
    </row>
    <row r="36" spans="2:2">
      <c r="B36" s="15" t="str">
        <f t="shared" si="0"/>
        <v xml:space="preserve"> - </v>
      </c>
    </row>
    <row r="37" spans="2:2">
      <c r="B37" s="15" t="str">
        <f t="shared" si="0"/>
        <v xml:space="preserve"> - </v>
      </c>
    </row>
    <row r="38" spans="2:2">
      <c r="B38" s="15" t="str">
        <f t="shared" si="0"/>
        <v xml:space="preserve"> - </v>
      </c>
    </row>
    <row r="39" spans="2:2">
      <c r="B39" s="15" t="str">
        <f t="shared" si="0"/>
        <v xml:space="preserve"> - </v>
      </c>
    </row>
    <row r="40" spans="2:2">
      <c r="B40" s="15" t="str">
        <f t="shared" si="0"/>
        <v xml:space="preserve"> - </v>
      </c>
    </row>
    <row r="41" spans="2:2">
      <c r="B41" s="15" t="str">
        <f t="shared" si="0"/>
        <v xml:space="preserve"> - </v>
      </c>
    </row>
    <row r="42" spans="2:2">
      <c r="B42" s="15" t="str">
        <f t="shared" si="0"/>
        <v xml:space="preserve"> - </v>
      </c>
    </row>
    <row r="43" spans="2:2">
      <c r="B43" s="15" t="str">
        <f t="shared" si="0"/>
        <v xml:space="preserve"> - </v>
      </c>
    </row>
    <row r="44" spans="2:2">
      <c r="B44" s="15" t="str">
        <f t="shared" si="0"/>
        <v xml:space="preserve"> - </v>
      </c>
    </row>
    <row r="45" spans="2:2">
      <c r="B45" s="15" t="str">
        <f t="shared" si="0"/>
        <v xml:space="preserve"> - </v>
      </c>
    </row>
    <row r="46" spans="2:2">
      <c r="B46" s="15" t="str">
        <f t="shared" si="0"/>
        <v xml:space="preserve"> - </v>
      </c>
    </row>
    <row r="47" spans="2:2">
      <c r="B47" s="15" t="str">
        <f t="shared" si="0"/>
        <v xml:space="preserve"> - </v>
      </c>
    </row>
    <row r="48" spans="2:2">
      <c r="B48" s="15" t="str">
        <f t="shared" si="0"/>
        <v xml:space="preserve"> - </v>
      </c>
    </row>
    <row r="49" spans="2:2">
      <c r="B49" s="15" t="str">
        <f t="shared" si="0"/>
        <v xml:space="preserve"> - </v>
      </c>
    </row>
    <row r="50" spans="2:2">
      <c r="B50" s="15" t="str">
        <f t="shared" si="0"/>
        <v xml:space="preserve"> - </v>
      </c>
    </row>
    <row r="51" spans="2:2">
      <c r="B51" s="15" t="str">
        <f t="shared" si="0"/>
        <v xml:space="preserve"> - </v>
      </c>
    </row>
    <row r="52" spans="2:2">
      <c r="B52" s="15" t="str">
        <f t="shared" si="0"/>
        <v xml:space="preserve"> - </v>
      </c>
    </row>
    <row r="53" spans="2:2">
      <c r="B53" s="15" t="str">
        <f t="shared" si="0"/>
        <v xml:space="preserve"> - </v>
      </c>
    </row>
    <row r="54" spans="2:2">
      <c r="B54" s="15" t="str">
        <f t="shared" si="0"/>
        <v xml:space="preserve"> - </v>
      </c>
    </row>
    <row r="55" spans="2:2">
      <c r="B55" s="15" t="str">
        <f t="shared" si="0"/>
        <v xml:space="preserve"> - </v>
      </c>
    </row>
    <row r="56" spans="2:2">
      <c r="B56" s="15" t="str">
        <f t="shared" si="0"/>
        <v xml:space="preserve"> - </v>
      </c>
    </row>
    <row r="57" spans="2:2">
      <c r="B57" s="15" t="str">
        <f t="shared" si="0"/>
        <v xml:space="preserve"> - </v>
      </c>
    </row>
    <row r="58" spans="2:2">
      <c r="B58" s="15" t="str">
        <f t="shared" si="0"/>
        <v xml:space="preserve"> - </v>
      </c>
    </row>
    <row r="59" spans="2:2">
      <c r="B59" s="15" t="str">
        <f t="shared" si="0"/>
        <v xml:space="preserve"> - </v>
      </c>
    </row>
    <row r="60" spans="2:2">
      <c r="B60" s="15" t="str">
        <f t="shared" si="0"/>
        <v xml:space="preserve"> - </v>
      </c>
    </row>
    <row r="61" spans="2:2">
      <c r="B61" s="15" t="str">
        <f t="shared" si="0"/>
        <v xml:space="preserve"> - </v>
      </c>
    </row>
    <row r="62" spans="2:2">
      <c r="B62" s="15" t="str">
        <f t="shared" si="0"/>
        <v xml:space="preserve"> - </v>
      </c>
    </row>
    <row r="63" spans="2:2">
      <c r="B63" s="15" t="str">
        <f t="shared" si="0"/>
        <v xml:space="preserve"> - </v>
      </c>
    </row>
    <row r="64" spans="2:2">
      <c r="B64" s="15" t="str">
        <f t="shared" si="0"/>
        <v xml:space="preserve"> - </v>
      </c>
    </row>
    <row r="65" spans="2:2">
      <c r="B65" s="15" t="str">
        <f t="shared" si="0"/>
        <v xml:space="preserve"> - </v>
      </c>
    </row>
    <row r="66" spans="2:2">
      <c r="B66" s="15" t="str">
        <f t="shared" si="0"/>
        <v xml:space="preserve"> - </v>
      </c>
    </row>
    <row r="67" spans="2:2">
      <c r="B67" s="15" t="str">
        <f t="shared" ref="B67:B130" si="1">CONCATENATE(A67," - ",IF(D67="",C67,D67))</f>
        <v xml:space="preserve"> - </v>
      </c>
    </row>
    <row r="68" spans="2:2">
      <c r="B68" s="15" t="str">
        <f t="shared" si="1"/>
        <v xml:space="preserve"> - </v>
      </c>
    </row>
    <row r="69" spans="2:2">
      <c r="B69" s="15" t="str">
        <f t="shared" si="1"/>
        <v xml:space="preserve"> - </v>
      </c>
    </row>
    <row r="70" spans="2:2">
      <c r="B70" s="15" t="str">
        <f t="shared" si="1"/>
        <v xml:space="preserve"> - </v>
      </c>
    </row>
    <row r="71" spans="2:2">
      <c r="B71" s="15" t="str">
        <f t="shared" si="1"/>
        <v xml:space="preserve"> - </v>
      </c>
    </row>
    <row r="72" spans="2:2">
      <c r="B72" s="15" t="str">
        <f t="shared" si="1"/>
        <v xml:space="preserve"> - </v>
      </c>
    </row>
    <row r="73" spans="2:2">
      <c r="B73" s="15" t="str">
        <f t="shared" si="1"/>
        <v xml:space="preserve"> - </v>
      </c>
    </row>
    <row r="74" spans="2:2">
      <c r="B74" s="15" t="str">
        <f t="shared" si="1"/>
        <v xml:space="preserve"> - </v>
      </c>
    </row>
    <row r="75" spans="2:2">
      <c r="B75" s="15" t="str">
        <f t="shared" si="1"/>
        <v xml:space="preserve"> - </v>
      </c>
    </row>
    <row r="76" spans="2:2">
      <c r="B76" s="15" t="str">
        <f t="shared" si="1"/>
        <v xml:space="preserve"> - </v>
      </c>
    </row>
    <row r="77" spans="2:2">
      <c r="B77" s="15" t="str">
        <f t="shared" si="1"/>
        <v xml:space="preserve"> - </v>
      </c>
    </row>
    <row r="78" spans="2:2">
      <c r="B78" s="15" t="str">
        <f t="shared" si="1"/>
        <v xml:space="preserve"> - </v>
      </c>
    </row>
    <row r="79" spans="2:2">
      <c r="B79" s="15" t="str">
        <f t="shared" si="1"/>
        <v xml:space="preserve"> - </v>
      </c>
    </row>
    <row r="80" spans="2:2">
      <c r="B80" s="15" t="str">
        <f t="shared" si="1"/>
        <v xml:space="preserve"> - </v>
      </c>
    </row>
    <row r="81" spans="2:2">
      <c r="B81" s="15" t="str">
        <f t="shared" si="1"/>
        <v xml:space="preserve"> - </v>
      </c>
    </row>
    <row r="82" spans="2:2">
      <c r="B82" s="15" t="str">
        <f t="shared" si="1"/>
        <v xml:space="preserve"> - </v>
      </c>
    </row>
    <row r="83" spans="2:2">
      <c r="B83" s="15" t="str">
        <f t="shared" si="1"/>
        <v xml:space="preserve"> - </v>
      </c>
    </row>
    <row r="84" spans="2:2">
      <c r="B84" s="15" t="str">
        <f t="shared" si="1"/>
        <v xml:space="preserve"> - </v>
      </c>
    </row>
    <row r="85" spans="2:2">
      <c r="B85" s="15" t="str">
        <f t="shared" si="1"/>
        <v xml:space="preserve"> - </v>
      </c>
    </row>
    <row r="86" spans="2:2">
      <c r="B86" s="15" t="str">
        <f t="shared" si="1"/>
        <v xml:space="preserve"> - </v>
      </c>
    </row>
    <row r="87" spans="2:2">
      <c r="B87" s="15" t="str">
        <f t="shared" si="1"/>
        <v xml:space="preserve"> - </v>
      </c>
    </row>
    <row r="88" spans="2:2">
      <c r="B88" s="15" t="str">
        <f t="shared" si="1"/>
        <v xml:space="preserve"> - </v>
      </c>
    </row>
    <row r="89" spans="2:2">
      <c r="B89" s="15" t="str">
        <f t="shared" si="1"/>
        <v xml:space="preserve"> - </v>
      </c>
    </row>
    <row r="90" spans="2:2">
      <c r="B90" s="15" t="str">
        <f t="shared" si="1"/>
        <v xml:space="preserve"> - </v>
      </c>
    </row>
    <row r="91" spans="2:2">
      <c r="B91" s="15" t="str">
        <f t="shared" si="1"/>
        <v xml:space="preserve"> - </v>
      </c>
    </row>
    <row r="92" spans="2:2">
      <c r="B92" s="15" t="str">
        <f t="shared" si="1"/>
        <v xml:space="preserve"> - </v>
      </c>
    </row>
    <row r="93" spans="2:2">
      <c r="B93" s="15" t="str">
        <f t="shared" si="1"/>
        <v xml:space="preserve"> - </v>
      </c>
    </row>
    <row r="94" spans="2:2">
      <c r="B94" s="15" t="str">
        <f t="shared" si="1"/>
        <v xml:space="preserve"> - </v>
      </c>
    </row>
    <row r="95" spans="2:2">
      <c r="B95" s="15" t="str">
        <f t="shared" si="1"/>
        <v xml:space="preserve"> - </v>
      </c>
    </row>
    <row r="96" spans="2:2">
      <c r="B96" s="15" t="str">
        <f t="shared" si="1"/>
        <v xml:space="preserve"> - </v>
      </c>
    </row>
    <row r="97" spans="2:2">
      <c r="B97" s="15" t="str">
        <f t="shared" si="1"/>
        <v xml:space="preserve"> - </v>
      </c>
    </row>
    <row r="98" spans="2:2">
      <c r="B98" s="15" t="str">
        <f t="shared" si="1"/>
        <v xml:space="preserve"> - </v>
      </c>
    </row>
    <row r="99" spans="2:2">
      <c r="B99" s="15" t="str">
        <f t="shared" si="1"/>
        <v xml:space="preserve"> - </v>
      </c>
    </row>
    <row r="100" spans="2:2">
      <c r="B100" s="15" t="str">
        <f t="shared" si="1"/>
        <v xml:space="preserve"> - </v>
      </c>
    </row>
    <row r="101" spans="2:2">
      <c r="B101" s="15" t="str">
        <f t="shared" si="1"/>
        <v xml:space="preserve"> - </v>
      </c>
    </row>
    <row r="102" spans="2:2">
      <c r="B102" s="15" t="str">
        <f t="shared" si="1"/>
        <v xml:space="preserve"> - </v>
      </c>
    </row>
    <row r="103" spans="2:2">
      <c r="B103" s="15" t="str">
        <f t="shared" si="1"/>
        <v xml:space="preserve"> - </v>
      </c>
    </row>
    <row r="104" spans="2:2">
      <c r="B104" s="15" t="str">
        <f t="shared" si="1"/>
        <v xml:space="preserve"> - </v>
      </c>
    </row>
    <row r="105" spans="2:2">
      <c r="B105" s="15" t="str">
        <f t="shared" si="1"/>
        <v xml:space="preserve"> - </v>
      </c>
    </row>
    <row r="106" spans="2:2">
      <c r="B106" s="15" t="str">
        <f t="shared" si="1"/>
        <v xml:space="preserve"> - </v>
      </c>
    </row>
    <row r="107" spans="2:2">
      <c r="B107" s="15" t="str">
        <f t="shared" si="1"/>
        <v xml:space="preserve"> - </v>
      </c>
    </row>
    <row r="108" spans="2:2">
      <c r="B108" s="15" t="str">
        <f t="shared" si="1"/>
        <v xml:space="preserve"> - </v>
      </c>
    </row>
    <row r="109" spans="2:2">
      <c r="B109" s="15" t="str">
        <f t="shared" si="1"/>
        <v xml:space="preserve"> - </v>
      </c>
    </row>
    <row r="110" spans="2:2">
      <c r="B110" s="15" t="str">
        <f t="shared" si="1"/>
        <v xml:space="preserve"> - </v>
      </c>
    </row>
    <row r="111" spans="2:2">
      <c r="B111" s="15" t="str">
        <f t="shared" si="1"/>
        <v xml:space="preserve"> - </v>
      </c>
    </row>
    <row r="112" spans="2:2">
      <c r="B112" s="15" t="str">
        <f t="shared" si="1"/>
        <v xml:space="preserve"> - </v>
      </c>
    </row>
    <row r="113" spans="2:2">
      <c r="B113" s="15" t="str">
        <f t="shared" si="1"/>
        <v xml:space="preserve"> - </v>
      </c>
    </row>
    <row r="114" spans="2:2">
      <c r="B114" s="15" t="str">
        <f t="shared" si="1"/>
        <v xml:space="preserve"> - </v>
      </c>
    </row>
    <row r="115" spans="2:2">
      <c r="B115" s="15" t="str">
        <f t="shared" si="1"/>
        <v xml:space="preserve"> - </v>
      </c>
    </row>
    <row r="116" spans="2:2">
      <c r="B116" s="15" t="str">
        <f t="shared" si="1"/>
        <v xml:space="preserve"> - </v>
      </c>
    </row>
    <row r="117" spans="2:2">
      <c r="B117" s="15" t="str">
        <f t="shared" si="1"/>
        <v xml:space="preserve"> - </v>
      </c>
    </row>
    <row r="118" spans="2:2">
      <c r="B118" s="15" t="str">
        <f t="shared" si="1"/>
        <v xml:space="preserve"> - </v>
      </c>
    </row>
    <row r="119" spans="2:2">
      <c r="B119" s="15" t="str">
        <f t="shared" si="1"/>
        <v xml:space="preserve"> - </v>
      </c>
    </row>
    <row r="120" spans="2:2">
      <c r="B120" s="15" t="str">
        <f t="shared" si="1"/>
        <v xml:space="preserve"> - </v>
      </c>
    </row>
    <row r="121" spans="2:2">
      <c r="B121" s="15" t="str">
        <f t="shared" si="1"/>
        <v xml:space="preserve"> - </v>
      </c>
    </row>
    <row r="122" spans="2:2">
      <c r="B122" s="15" t="str">
        <f t="shared" si="1"/>
        <v xml:space="preserve"> - </v>
      </c>
    </row>
    <row r="123" spans="2:2">
      <c r="B123" s="15" t="str">
        <f t="shared" si="1"/>
        <v xml:space="preserve"> - </v>
      </c>
    </row>
    <row r="124" spans="2:2">
      <c r="B124" s="15" t="str">
        <f t="shared" si="1"/>
        <v xml:space="preserve"> - </v>
      </c>
    </row>
    <row r="125" spans="2:2">
      <c r="B125" s="15" t="str">
        <f t="shared" si="1"/>
        <v xml:space="preserve"> - </v>
      </c>
    </row>
    <row r="126" spans="2:2">
      <c r="B126" s="15" t="str">
        <f t="shared" si="1"/>
        <v xml:space="preserve"> - </v>
      </c>
    </row>
    <row r="127" spans="2:2">
      <c r="B127" s="15" t="str">
        <f t="shared" si="1"/>
        <v xml:space="preserve"> - </v>
      </c>
    </row>
    <row r="128" spans="2:2">
      <c r="B128" s="15" t="str">
        <f t="shared" si="1"/>
        <v xml:space="preserve"> - </v>
      </c>
    </row>
    <row r="129" spans="2:2">
      <c r="B129" s="15" t="str">
        <f t="shared" si="1"/>
        <v xml:space="preserve"> - </v>
      </c>
    </row>
    <row r="130" spans="2:2">
      <c r="B130" s="15" t="str">
        <f t="shared" si="1"/>
        <v xml:space="preserve"> - </v>
      </c>
    </row>
    <row r="131" spans="2:2">
      <c r="B131" s="15" t="str">
        <f t="shared" ref="B131:B194" si="2">CONCATENATE(A131," - ",IF(D131="",C131,D131))</f>
        <v xml:space="preserve"> - </v>
      </c>
    </row>
    <row r="132" spans="2:2">
      <c r="B132" s="15" t="str">
        <f t="shared" si="2"/>
        <v xml:space="preserve"> - </v>
      </c>
    </row>
    <row r="133" spans="2:2">
      <c r="B133" s="15" t="str">
        <f t="shared" si="2"/>
        <v xml:space="preserve"> - </v>
      </c>
    </row>
    <row r="134" spans="2:2">
      <c r="B134" s="15" t="str">
        <f t="shared" si="2"/>
        <v xml:space="preserve"> - </v>
      </c>
    </row>
    <row r="135" spans="2:2">
      <c r="B135" s="15" t="str">
        <f t="shared" si="2"/>
        <v xml:space="preserve"> - </v>
      </c>
    </row>
    <row r="136" spans="2:2">
      <c r="B136" s="15" t="str">
        <f t="shared" si="2"/>
        <v xml:space="preserve"> - </v>
      </c>
    </row>
    <row r="137" spans="2:2">
      <c r="B137" s="15" t="str">
        <f t="shared" si="2"/>
        <v xml:space="preserve"> - </v>
      </c>
    </row>
    <row r="138" spans="2:2">
      <c r="B138" s="15" t="str">
        <f t="shared" si="2"/>
        <v xml:space="preserve"> - </v>
      </c>
    </row>
    <row r="139" spans="2:2">
      <c r="B139" s="15" t="str">
        <f t="shared" si="2"/>
        <v xml:space="preserve"> - </v>
      </c>
    </row>
    <row r="140" spans="2:2">
      <c r="B140" s="15" t="str">
        <f t="shared" si="2"/>
        <v xml:space="preserve"> - </v>
      </c>
    </row>
    <row r="141" spans="2:2">
      <c r="B141" s="15" t="str">
        <f t="shared" si="2"/>
        <v xml:space="preserve"> - </v>
      </c>
    </row>
    <row r="142" spans="2:2">
      <c r="B142" s="15" t="str">
        <f t="shared" si="2"/>
        <v xml:space="preserve"> - </v>
      </c>
    </row>
    <row r="143" spans="2:2">
      <c r="B143" s="15" t="str">
        <f t="shared" si="2"/>
        <v xml:space="preserve"> - </v>
      </c>
    </row>
    <row r="144" spans="2:2">
      <c r="B144" s="15" t="str">
        <f t="shared" si="2"/>
        <v xml:space="preserve"> - </v>
      </c>
    </row>
    <row r="145" spans="2:2">
      <c r="B145" s="15" t="str">
        <f t="shared" si="2"/>
        <v xml:space="preserve"> - </v>
      </c>
    </row>
    <row r="146" spans="2:2">
      <c r="B146" s="15" t="str">
        <f t="shared" si="2"/>
        <v xml:space="preserve"> - </v>
      </c>
    </row>
    <row r="147" spans="2:2">
      <c r="B147" s="15" t="str">
        <f t="shared" si="2"/>
        <v xml:space="preserve"> - </v>
      </c>
    </row>
    <row r="148" spans="2:2">
      <c r="B148" s="15" t="str">
        <f t="shared" si="2"/>
        <v xml:space="preserve"> - </v>
      </c>
    </row>
    <row r="149" spans="2:2">
      <c r="B149" s="15" t="str">
        <f t="shared" si="2"/>
        <v xml:space="preserve"> - </v>
      </c>
    </row>
    <row r="150" spans="2:2">
      <c r="B150" s="15" t="str">
        <f t="shared" si="2"/>
        <v xml:space="preserve"> - </v>
      </c>
    </row>
    <row r="151" spans="2:2">
      <c r="B151" s="15" t="str">
        <f t="shared" si="2"/>
        <v xml:space="preserve"> - </v>
      </c>
    </row>
    <row r="152" spans="2:2">
      <c r="B152" s="15" t="str">
        <f t="shared" si="2"/>
        <v xml:space="preserve"> - </v>
      </c>
    </row>
    <row r="153" spans="2:2">
      <c r="B153" s="15" t="str">
        <f t="shared" si="2"/>
        <v xml:space="preserve"> - </v>
      </c>
    </row>
    <row r="154" spans="2:2">
      <c r="B154" s="15" t="str">
        <f t="shared" si="2"/>
        <v xml:space="preserve"> - </v>
      </c>
    </row>
    <row r="155" spans="2:2">
      <c r="B155" s="15" t="str">
        <f t="shared" si="2"/>
        <v xml:space="preserve"> - </v>
      </c>
    </row>
    <row r="156" spans="2:2">
      <c r="B156" s="15" t="str">
        <f t="shared" si="2"/>
        <v xml:space="preserve"> - </v>
      </c>
    </row>
    <row r="157" spans="2:2">
      <c r="B157" s="15" t="str">
        <f t="shared" si="2"/>
        <v xml:space="preserve"> - </v>
      </c>
    </row>
    <row r="158" spans="2:2">
      <c r="B158" s="15" t="str">
        <f t="shared" si="2"/>
        <v xml:space="preserve"> - </v>
      </c>
    </row>
    <row r="159" spans="2:2">
      <c r="B159" s="15" t="str">
        <f t="shared" si="2"/>
        <v xml:space="preserve"> - </v>
      </c>
    </row>
    <row r="160" spans="2:2">
      <c r="B160" s="15" t="str">
        <f t="shared" si="2"/>
        <v xml:space="preserve"> - </v>
      </c>
    </row>
    <row r="161" spans="2:2">
      <c r="B161" s="15" t="str">
        <f t="shared" si="2"/>
        <v xml:space="preserve"> - </v>
      </c>
    </row>
    <row r="162" spans="2:2">
      <c r="B162" s="15" t="str">
        <f t="shared" si="2"/>
        <v xml:space="preserve"> - </v>
      </c>
    </row>
    <row r="163" spans="2:2">
      <c r="B163" s="15" t="str">
        <f t="shared" si="2"/>
        <v xml:space="preserve"> - </v>
      </c>
    </row>
    <row r="164" spans="2:2">
      <c r="B164" s="15" t="str">
        <f t="shared" si="2"/>
        <v xml:space="preserve"> - </v>
      </c>
    </row>
    <row r="165" spans="2:2">
      <c r="B165" s="15" t="str">
        <f t="shared" si="2"/>
        <v xml:space="preserve"> - </v>
      </c>
    </row>
    <row r="166" spans="2:2">
      <c r="B166" s="15" t="str">
        <f t="shared" si="2"/>
        <v xml:space="preserve"> - </v>
      </c>
    </row>
    <row r="167" spans="2:2">
      <c r="B167" s="15" t="str">
        <f t="shared" si="2"/>
        <v xml:space="preserve"> - </v>
      </c>
    </row>
    <row r="168" spans="2:2">
      <c r="B168" s="15" t="str">
        <f t="shared" si="2"/>
        <v xml:space="preserve"> - </v>
      </c>
    </row>
    <row r="169" spans="2:2">
      <c r="B169" s="15" t="str">
        <f t="shared" si="2"/>
        <v xml:space="preserve"> - </v>
      </c>
    </row>
    <row r="170" spans="2:2">
      <c r="B170" s="15" t="str">
        <f t="shared" si="2"/>
        <v xml:space="preserve"> - </v>
      </c>
    </row>
    <row r="171" spans="2:2">
      <c r="B171" s="15" t="str">
        <f t="shared" si="2"/>
        <v xml:space="preserve"> - </v>
      </c>
    </row>
    <row r="172" spans="2:2">
      <c r="B172" s="15" t="str">
        <f t="shared" si="2"/>
        <v xml:space="preserve"> - </v>
      </c>
    </row>
    <row r="173" spans="2:2">
      <c r="B173" s="15" t="str">
        <f t="shared" si="2"/>
        <v xml:space="preserve"> - </v>
      </c>
    </row>
    <row r="174" spans="2:2">
      <c r="B174" s="15" t="str">
        <f t="shared" si="2"/>
        <v xml:space="preserve"> - </v>
      </c>
    </row>
    <row r="175" spans="2:2">
      <c r="B175" s="15" t="str">
        <f t="shared" si="2"/>
        <v xml:space="preserve"> - </v>
      </c>
    </row>
    <row r="176" spans="2:2">
      <c r="B176" s="15" t="str">
        <f t="shared" si="2"/>
        <v xml:space="preserve"> - </v>
      </c>
    </row>
    <row r="177" spans="2:2">
      <c r="B177" s="15" t="str">
        <f t="shared" si="2"/>
        <v xml:space="preserve"> - </v>
      </c>
    </row>
    <row r="178" spans="2:2">
      <c r="B178" s="15" t="str">
        <f t="shared" si="2"/>
        <v xml:space="preserve"> - </v>
      </c>
    </row>
    <row r="179" spans="2:2">
      <c r="B179" s="15" t="str">
        <f t="shared" si="2"/>
        <v xml:space="preserve"> - </v>
      </c>
    </row>
    <row r="180" spans="2:2">
      <c r="B180" s="15" t="str">
        <f t="shared" si="2"/>
        <v xml:space="preserve"> - </v>
      </c>
    </row>
    <row r="181" spans="2:2">
      <c r="B181" s="15" t="str">
        <f t="shared" si="2"/>
        <v xml:space="preserve"> - </v>
      </c>
    </row>
    <row r="182" spans="2:2">
      <c r="B182" s="15" t="str">
        <f t="shared" si="2"/>
        <v xml:space="preserve"> - </v>
      </c>
    </row>
    <row r="183" spans="2:2">
      <c r="B183" s="15" t="str">
        <f t="shared" si="2"/>
        <v xml:space="preserve"> - </v>
      </c>
    </row>
    <row r="184" spans="2:2">
      <c r="B184" s="15" t="str">
        <f t="shared" si="2"/>
        <v xml:space="preserve"> - </v>
      </c>
    </row>
    <row r="185" spans="2:2">
      <c r="B185" s="15" t="str">
        <f t="shared" si="2"/>
        <v xml:space="preserve"> - </v>
      </c>
    </row>
    <row r="186" spans="2:2">
      <c r="B186" s="15" t="str">
        <f t="shared" si="2"/>
        <v xml:space="preserve"> - </v>
      </c>
    </row>
    <row r="187" spans="2:2">
      <c r="B187" s="15" t="str">
        <f t="shared" si="2"/>
        <v xml:space="preserve"> - </v>
      </c>
    </row>
    <row r="188" spans="2:2">
      <c r="B188" s="15" t="str">
        <f t="shared" si="2"/>
        <v xml:space="preserve"> - </v>
      </c>
    </row>
    <row r="189" spans="2:2">
      <c r="B189" s="15" t="str">
        <f t="shared" si="2"/>
        <v xml:space="preserve"> - </v>
      </c>
    </row>
    <row r="190" spans="2:2">
      <c r="B190" s="15" t="str">
        <f t="shared" si="2"/>
        <v xml:space="preserve"> - </v>
      </c>
    </row>
    <row r="191" spans="2:2">
      <c r="B191" s="15" t="str">
        <f t="shared" si="2"/>
        <v xml:space="preserve"> - </v>
      </c>
    </row>
    <row r="192" spans="2:2">
      <c r="B192" s="15" t="str">
        <f t="shared" si="2"/>
        <v xml:space="preserve"> - </v>
      </c>
    </row>
    <row r="193" spans="1:2">
      <c r="B193" s="15" t="str">
        <f t="shared" si="2"/>
        <v xml:space="preserve"> - </v>
      </c>
    </row>
    <row r="194" spans="1:2">
      <c r="B194" s="15" t="str">
        <f t="shared" si="2"/>
        <v xml:space="preserve"> - </v>
      </c>
    </row>
    <row r="195" spans="1:2">
      <c r="B195" s="15" t="str">
        <f t="shared" ref="B195:B213" si="3">CONCATENATE(A195," - ",IF(D195="",C195,D195))</f>
        <v xml:space="preserve"> - </v>
      </c>
    </row>
    <row r="196" spans="1:2">
      <c r="B196" s="15" t="str">
        <f t="shared" si="3"/>
        <v xml:space="preserve"> - </v>
      </c>
    </row>
    <row r="197" spans="1:2">
      <c r="B197" s="15" t="str">
        <f t="shared" si="3"/>
        <v xml:space="preserve"> - </v>
      </c>
    </row>
    <row r="198" spans="1:2">
      <c r="B198" s="15" t="str">
        <f t="shared" si="3"/>
        <v xml:space="preserve"> - </v>
      </c>
    </row>
    <row r="199" spans="1:2">
      <c r="A199" s="30" t="s">
        <v>74</v>
      </c>
      <c r="B199" s="15" t="str">
        <f t="shared" si="3"/>
        <v xml:space="preserve">Em Hiến - </v>
      </c>
    </row>
    <row r="200" spans="1:2">
      <c r="B200" s="15" t="str">
        <f t="shared" si="3"/>
        <v xml:space="preserve"> - </v>
      </c>
    </row>
    <row r="201" spans="1:2">
      <c r="B201" s="15" t="str">
        <f t="shared" si="3"/>
        <v xml:space="preserve"> - </v>
      </c>
    </row>
    <row r="202" spans="1:2">
      <c r="B202" s="15" t="str">
        <f t="shared" si="3"/>
        <v xml:space="preserve"> - </v>
      </c>
    </row>
    <row r="203" spans="1:2">
      <c r="B203" s="15" t="str">
        <f t="shared" si="3"/>
        <v xml:space="preserve"> - </v>
      </c>
    </row>
    <row r="204" spans="1:2">
      <c r="B204" s="15" t="str">
        <f t="shared" si="3"/>
        <v xml:space="preserve"> - </v>
      </c>
    </row>
    <row r="205" spans="1:2">
      <c r="B205" s="15" t="str">
        <f t="shared" si="3"/>
        <v xml:space="preserve"> - </v>
      </c>
    </row>
    <row r="206" spans="1:2">
      <c r="B206" s="15" t="str">
        <f t="shared" si="3"/>
        <v xml:space="preserve"> - </v>
      </c>
    </row>
    <row r="207" spans="1:2">
      <c r="B207" s="15" t="str">
        <f t="shared" si="3"/>
        <v xml:space="preserve"> - </v>
      </c>
    </row>
    <row r="208" spans="1:2">
      <c r="B208" s="15" t="str">
        <f t="shared" si="3"/>
        <v xml:space="preserve"> - </v>
      </c>
    </row>
    <row r="209" spans="2:2">
      <c r="B209" s="15" t="str">
        <f t="shared" si="3"/>
        <v xml:space="preserve"> - </v>
      </c>
    </row>
    <row r="210" spans="2:2">
      <c r="B210" s="15" t="str">
        <f t="shared" si="3"/>
        <v xml:space="preserve"> - </v>
      </c>
    </row>
    <row r="211" spans="2:2">
      <c r="B211" s="15" t="str">
        <f t="shared" si="3"/>
        <v xml:space="preserve"> - </v>
      </c>
    </row>
    <row r="212" spans="2:2">
      <c r="B212" s="15" t="str">
        <f t="shared" si="3"/>
        <v xml:space="preserve"> - </v>
      </c>
    </row>
    <row r="213" spans="2:2">
      <c r="B213" s="15" t="str">
        <f t="shared" si="3"/>
        <v xml:space="preserve"> - </v>
      </c>
    </row>
  </sheetData>
  <autoFilter ref="A2:C19" xr:uid="{00000000-0009-0000-0000-000002000000}">
    <sortState xmlns:xlrd2="http://schemas.microsoft.com/office/spreadsheetml/2017/richdata2" ref="A3:D19">
      <sortCondition ref="B3:B1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tabSelected="1" workbookViewId="0">
      <selection activeCell="G10" sqref="G10"/>
    </sheetView>
  </sheetViews>
  <sheetFormatPr defaultRowHeight="15.75"/>
  <cols>
    <col min="1" max="16384" width="9" style="30"/>
  </cols>
  <sheetData>
    <row r="1" spans="1:2" s="31" customFormat="1">
      <c r="A1" s="31" t="s">
        <v>42</v>
      </c>
      <c r="B1" s="31" t="s">
        <v>78</v>
      </c>
    </row>
    <row r="2" spans="1:2">
      <c r="A2" s="30" t="s">
        <v>79</v>
      </c>
      <c r="B2" s="30" t="s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KHSX</vt:lpstr>
      <vt:lpstr>Dụng cụ</vt:lpstr>
      <vt:lpstr>DM_Donvi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</dc:creator>
  <cp:lastModifiedBy>Trịnh Quang Hưng</cp:lastModifiedBy>
  <cp:lastPrinted>2024-01-23T07:39:49Z</cp:lastPrinted>
  <dcterms:created xsi:type="dcterms:W3CDTF">2007-07-26T08:08:51Z</dcterms:created>
  <dcterms:modified xsi:type="dcterms:W3CDTF">2024-05-16T08:24:15Z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2024-05-16T07:11:22Z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25f54d91-963a-4bde-ac5c-b1e4d5dffe36</vt:lpwstr>
  </property>
  <property fmtid="{D5CDD505-2E9C-101B-9397-08002B2CF9AE}" pid="7" name="MSIP_Label_defa4170-0d19-0005-0004-bc88714345d2_ActionId">
    <vt:lpwstr>2ff4f69a-8572-48a6-b28f-f52091a07989</vt:lpwstr>
  </property>
  <property fmtid="{D5CDD505-2E9C-101B-9397-08002B2CF9AE}" pid="8" name="MSIP_Label_defa4170-0d19-0005-0004-bc88714345d2_ContentBits">
    <vt:lpwstr>0</vt:lpwstr>
  </property>
</Properties>
</file>